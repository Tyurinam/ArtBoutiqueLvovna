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Marina\Desktop\Proget2017\Proget2\"/>
    </mc:Choice>
  </mc:AlternateContent>
  <bookViews>
    <workbookView xWindow="0" yWindow="0" windowWidth="25200" windowHeight="11900" activeTab="2"/>
  </bookViews>
  <sheets>
    <sheet name="Intro" sheetId="7" r:id="rId1"/>
    <sheet name="Product Backlog" sheetId="1" r:id="rId2"/>
    <sheet name="Sprint 1" sheetId="4" r:id="rId3"/>
    <sheet name="Sprint 2" sheetId="8" r:id="rId4"/>
    <sheet name="system sheet" sheetId="5" r:id="rId5"/>
  </sheets>
  <definedNames>
    <definedName name="_xlnm._FilterDatabase" localSheetId="1" hidden="1">'Product Backlog'!$B$4:$G$50</definedName>
    <definedName name="_xlnm._FilterDatabase" localSheetId="2" hidden="1">'Sprint 1'!$A$6:$E$15</definedName>
    <definedName name="_xlnm._FilterDatabase" localSheetId="3" hidden="1">'Sprint 2'!$A$6:$E$17</definedName>
    <definedName name="_xlnm.Print_Area" localSheetId="2">'Sprint 1'!$A$1:$N$14</definedName>
    <definedName name="_xlnm.Print_Area" localSheetId="3">'Sprint 2'!$A$1:$N$16</definedName>
  </definedNames>
  <calcPr calcId="152511"/>
</workbook>
</file>

<file path=xl/calcChain.xml><?xml version="1.0" encoding="utf-8"?>
<calcChain xmlns="http://schemas.openxmlformats.org/spreadsheetml/2006/main">
  <c r="D2" i="4" l="1"/>
  <c r="B6" i="1" l="1"/>
  <c r="B7" i="1" s="1"/>
  <c r="D2" i="8" l="1"/>
  <c r="D17" i="8" l="1"/>
  <c r="D3" i="8" s="1"/>
  <c r="D6" i="5" s="1"/>
  <c r="B2" i="8"/>
  <c r="E17" i="8"/>
  <c r="F17" i="8"/>
  <c r="G17" i="8"/>
  <c r="H17" i="8"/>
  <c r="I17" i="8"/>
  <c r="J17" i="8"/>
  <c r="K17" i="8"/>
  <c r="L17" i="8"/>
  <c r="M17" i="8"/>
  <c r="N17" i="8"/>
  <c r="B2" i="4"/>
  <c r="D15" i="4"/>
  <c r="D3" i="4" s="1"/>
  <c r="C6" i="5" s="1"/>
  <c r="B2" i="1"/>
  <c r="E15" i="4"/>
  <c r="F15" i="4"/>
  <c r="G15" i="4"/>
  <c r="H15" i="4"/>
  <c r="I15" i="4"/>
  <c r="J15" i="4"/>
  <c r="K15" i="4"/>
  <c r="L15" i="4"/>
  <c r="M15" i="4"/>
  <c r="N15" i="4"/>
  <c r="I11" i="5" l="1"/>
  <c r="K18" i="8" s="1"/>
  <c r="G11" i="5"/>
  <c r="I18" i="8" s="1"/>
  <c r="L11" i="5"/>
  <c r="N18" i="8" s="1"/>
  <c r="C11" i="5"/>
  <c r="E18" i="8" s="1"/>
  <c r="K11" i="5"/>
  <c r="M18" i="8" s="1"/>
  <c r="F11" i="5"/>
  <c r="H18" i="8" s="1"/>
  <c r="D11" i="5"/>
  <c r="F18" i="8" s="1"/>
  <c r="E11" i="5"/>
  <c r="G18" i="8" s="1"/>
  <c r="J11" i="5"/>
  <c r="L18" i="8" s="1"/>
  <c r="H11" i="5"/>
  <c r="J18" i="8" s="1"/>
  <c r="H10" i="5"/>
  <c r="J16" i="4" s="1"/>
  <c r="K10" i="5"/>
  <c r="M16" i="4" s="1"/>
  <c r="J10" i="5"/>
  <c r="L16" i="4" s="1"/>
  <c r="E10" i="5"/>
  <c r="G16" i="4" s="1"/>
  <c r="L10" i="5"/>
  <c r="N16" i="4" s="1"/>
  <c r="C10" i="5"/>
  <c r="E16" i="4" s="1"/>
  <c r="G10" i="5"/>
  <c r="I16" i="4" s="1"/>
  <c r="D10" i="5"/>
  <c r="F16" i="4" s="1"/>
  <c r="F10" i="5"/>
  <c r="H16" i="4" s="1"/>
  <c r="I10" i="5"/>
  <c r="K16" i="4" s="1"/>
</calcChain>
</file>

<file path=xl/comments1.xml><?xml version="1.0" encoding="utf-8"?>
<comments xmlns="http://schemas.openxmlformats.org/spreadsheetml/2006/main">
  <authors>
    <author>513334</author>
  </authors>
  <commentList>
    <comment ref="G3" authorId="0" shapeId="0">
      <text>
        <r>
          <rPr>
            <b/>
            <sz val="8"/>
            <color indexed="81"/>
            <rFont val="Tahoma"/>
          </rPr>
          <t>513334:</t>
        </r>
        <r>
          <rPr>
            <sz val="8"/>
            <color indexed="81"/>
            <rFont val="Tahoma"/>
          </rPr>
          <t xml:space="preserve">
Report to Estimate Scrum unit the computed amount of scrum units found in Sprint sheet</t>
        </r>
      </text>
    </comment>
  </commentList>
</comments>
</file>

<file path=xl/comments2.xml><?xml version="1.0" encoding="utf-8"?>
<comments xmlns="http://schemas.openxmlformats.org/spreadsheetml/2006/main">
  <authors>
    <author>Reuters Financial Software</author>
    <author>nicolas.martignole</author>
  </authors>
  <commentList>
    <comment ref="B6" authorId="0" shape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shapeId="0">
      <text>
        <r>
          <rPr>
            <b/>
            <sz val="8"/>
            <color indexed="81"/>
            <rFont val="Tahoma"/>
          </rPr>
          <t>Reuters Financial Software:</t>
        </r>
        <r>
          <rPr>
            <sz val="8"/>
            <color indexed="81"/>
            <rFont val="Tahoma"/>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shape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5" authorId="1" shapeId="0">
      <text>
        <r>
          <rPr>
            <b/>
            <sz val="8"/>
            <color indexed="81"/>
            <rFont val="Tahoma"/>
          </rPr>
          <t>nicolas.martignole:</t>
        </r>
        <r>
          <rPr>
            <sz val="8"/>
            <color indexed="81"/>
            <rFont val="Tahoma"/>
          </rPr>
          <t xml:space="preserve">
Initial total of Scrum units
</t>
        </r>
      </text>
    </comment>
    <comment ref="E16" authorId="1" shapeId="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3.xml><?xml version="1.0" encoding="utf-8"?>
<comments xmlns="http://schemas.openxmlformats.org/spreadsheetml/2006/main">
  <authors>
    <author>Reuters Financial Software</author>
    <author>nicolas.martignole</author>
  </authors>
  <commentList>
    <comment ref="B6" authorId="0" shape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shapeId="0">
      <text>
        <r>
          <rPr>
            <b/>
            <sz val="8"/>
            <color indexed="81"/>
            <rFont val="Tahoma"/>
          </rPr>
          <t>Reuters Financial Software:</t>
        </r>
        <r>
          <rPr>
            <sz val="8"/>
            <color indexed="81"/>
            <rFont val="Tahoma"/>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shape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7" authorId="1" shapeId="0">
      <text>
        <r>
          <rPr>
            <b/>
            <sz val="8"/>
            <color indexed="81"/>
            <rFont val="Tahoma"/>
          </rPr>
          <t>nicolas.martignole:</t>
        </r>
        <r>
          <rPr>
            <sz val="8"/>
            <color indexed="81"/>
            <rFont val="Tahoma"/>
          </rPr>
          <t xml:space="preserve">
Initial total of Scrum units
</t>
        </r>
      </text>
    </comment>
    <comment ref="E18" authorId="1" shapeId="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4.xml><?xml version="1.0" encoding="utf-8"?>
<comments xmlns="http://schemas.openxmlformats.org/spreadsheetml/2006/main">
  <authors>
    <author>513334</author>
  </authors>
  <commentList>
    <comment ref="C6" authorId="0" shapeId="0">
      <text>
        <r>
          <rPr>
            <b/>
            <sz val="8"/>
            <color indexed="81"/>
            <rFont val="Tahoma"/>
          </rPr>
          <t>513334:</t>
        </r>
        <r>
          <rPr>
            <sz val="8"/>
            <color indexed="81"/>
            <rFont val="Tahoma"/>
          </rPr>
          <t xml:space="preserve">
Enter here the amount of scrum units the team decided to produce in the sprint
</t>
        </r>
      </text>
    </comment>
  </commentList>
</comments>
</file>

<file path=xl/sharedStrings.xml><?xml version="1.0" encoding="utf-8"?>
<sst xmlns="http://schemas.openxmlformats.org/spreadsheetml/2006/main" count="179" uniqueCount="132">
  <si>
    <t>User story</t>
  </si>
  <si>
    <t>JIRA Id</t>
  </si>
  <si>
    <t>ID</t>
  </si>
  <si>
    <t>Short name</t>
  </si>
  <si>
    <t>Value/Importance</t>
  </si>
  <si>
    <t>Initial Estimate</t>
  </si>
  <si>
    <t>Forecast</t>
  </si>
  <si>
    <t>Known X</t>
  </si>
  <si>
    <t>Sprint 3</t>
  </si>
  <si>
    <t>Sprint 4</t>
  </si>
  <si>
    <t>Sprint 5</t>
  </si>
  <si>
    <t>Sprint 6</t>
  </si>
  <si>
    <t>Restant fin</t>
  </si>
  <si>
    <t>Sprint 1</t>
  </si>
  <si>
    <t>Sprint 2</t>
  </si>
  <si>
    <t>Product Backlog</t>
  </si>
  <si>
    <t>&lt;= Remaining Scrum Units</t>
  </si>
  <si>
    <t>Days:</t>
  </si>
  <si>
    <t>1B</t>
  </si>
  <si>
    <t>1C</t>
  </si>
  <si>
    <t>2A</t>
  </si>
  <si>
    <t>1D</t>
  </si>
  <si>
    <t>Feuille Scrum</t>
  </si>
  <si>
    <t>Nom du produit :</t>
  </si>
  <si>
    <t>Mon Produit</t>
  </si>
  <si>
    <t>Le Product Backlog est la liste des fonctionnalités souhaitées pour le produit. Le Product Owner</t>
  </si>
  <si>
    <t>met à jour la  liste des éléments en utilisant les 'user stories'. Pendant le 'Sprint Planning Meeting', vous devez fixer</t>
  </si>
  <si>
    <t xml:space="preserve">l'ordre souhaité pour les éléments  de manière définitive. </t>
  </si>
  <si>
    <t>On consigne dans une feuile de sprint (Sprint sheet) la sélection des éléments que l'équipe va produire pendant le sprint</t>
  </si>
  <si>
    <t>Notes sur l'utilisation :</t>
  </si>
  <si>
    <t>Le 'product owner', doit entrer tous les éléments dans le 'Product Backlog' dans la zone bleue.</t>
  </si>
  <si>
    <t xml:space="preserve">Le 'Scrum Master' dirige la réunion de planning du sprint (Sprint Planning Meeting), calcule le montant  estimé </t>
  </si>
  <si>
    <t xml:space="preserve">des unités scrum nécessaires pour compléter une tâche. O peut découper la feuille de sprint en plus petites tâches si nécessaire. </t>
  </si>
  <si>
    <t xml:space="preserve">Une fois le montant est estimé par l'équipe, il fat mettre à jour les calculs dans la feuille pour </t>
  </si>
  <si>
    <t>calculer la courbe des unités scrum qui restent par jour.</t>
  </si>
  <si>
    <t>Dernière modification:</t>
  </si>
  <si>
    <t>Modifié par:</t>
  </si>
  <si>
    <t>Domaine</t>
  </si>
  <si>
    <t>Titre</t>
  </si>
  <si>
    <t>Priorité</t>
  </si>
  <si>
    <t>Plannifié dans le Sprint</t>
  </si>
  <si>
    <t>Sécurité</t>
  </si>
  <si>
    <t>Productivité</t>
  </si>
  <si>
    <t xml:space="preserve">page d'authentification </t>
  </si>
  <si>
    <t xml:space="preserve">Effort Scrum Initial </t>
  </si>
  <si>
    <t>Date début</t>
  </si>
  <si>
    <t>Date de fin (inclus)</t>
  </si>
  <si>
    <t>Construire une page de login et la tester.</t>
  </si>
  <si>
    <t>&lt;=  Unités Scrum Restantes</t>
  </si>
  <si>
    <t>Valeur/Importance</t>
  </si>
  <si>
    <t>Nom</t>
  </si>
  <si>
    <t>Page web de base pour une authentification par formulaire</t>
  </si>
  <si>
    <t>Prévision</t>
  </si>
  <si>
    <t>Exemple de user story</t>
  </si>
  <si>
    <t>Date de début</t>
  </si>
  <si>
    <t xml:space="preserve">Objectifs du sprint </t>
  </si>
  <si>
    <t>Calcul des unités scrum restantes</t>
  </si>
  <si>
    <t>Ne modifiez pas le contenu de cette table</t>
  </si>
  <si>
    <t>Total des unités scrum  estimées</t>
  </si>
  <si>
    <r>
      <t>En vert</t>
    </r>
    <r>
      <rPr>
        <sz val="10"/>
        <rFont val="Arial"/>
      </rPr>
      <t xml:space="preserve"> : complété par le Product Owner / E</t>
    </r>
    <r>
      <rPr>
        <sz val="10"/>
        <color indexed="52"/>
        <rFont val="Arial"/>
        <family val="2"/>
      </rPr>
      <t>n Jaune:</t>
    </r>
    <r>
      <rPr>
        <sz val="10"/>
        <rFont val="Arial"/>
      </rPr>
      <t xml:space="preserve"> complété par l'équipe</t>
    </r>
  </si>
  <si>
    <t xml:space="preserve">Estimation Initiale </t>
  </si>
  <si>
    <t>513334</t>
  </si>
  <si>
    <t>En tant que développeur on souhaite une plateforme pour compiler, packager et lancer mon application sur une petit serveur web</t>
  </si>
  <si>
    <t>Creation de Base de Donne</t>
  </si>
  <si>
    <t>En tant qu'utilisateur on dois utiliser une page d'accueil pour m'authentifer sur le système</t>
  </si>
  <si>
    <t>Wamp/EasyPhp/OpenCarte</t>
  </si>
  <si>
    <t>En tant que développeurs, on veut créer une base de données pour notre site web</t>
  </si>
  <si>
    <t>Opencart</t>
  </si>
  <si>
    <t xml:space="preserve">En tant que développeur on souhaite installer un logiciel de commerce electronique pour mon application.  </t>
  </si>
  <si>
    <t xml:space="preserve">Creation de théme customisé pour la boutique (OpenCarte) </t>
  </si>
  <si>
    <t xml:space="preserve">Creation Module  de Filtre( sélection) </t>
  </si>
  <si>
    <t>Connexion au site</t>
  </si>
  <si>
    <t xml:space="preserve"> </t>
  </si>
  <si>
    <t>En tant qu'utilisateur on doit me pouvoir connecter comme client ou comme membre du club</t>
  </si>
  <si>
    <t>En tant qu'utilisateur on doit me pouvoir inscrire comme client ou comme membre du club</t>
  </si>
  <si>
    <t>En tant qu'utilisateur on doit utiliser une sélection spécialisée : style, technique et format, pour utiliser dans toutes les fonctionnalités de l'application.</t>
  </si>
  <si>
    <t>En tant que développeurs, on veut créer un thème customisé pour notre site</t>
  </si>
  <si>
    <t>Ajout de Photo et ouvres par l'artiste</t>
  </si>
  <si>
    <t>En tant qu'utilisateur, avec le role d'artiste ou membre du club,  on peut modifier mon photo, mes donnes personnelles et mes tableaux dans la boutique.</t>
  </si>
  <si>
    <t>En tant qu'utilisateur, avec le rôle d'artiste ou membre du club,  on peut supprimer mon photo, mes donnes personnelles et mes tableaux dans la boutique.</t>
  </si>
  <si>
    <t>En tant qu'utilisateur, je souhaite regarder tous les œuvres sans prix que je testerais  en cliquant  "Exposition" dans le menu principal</t>
  </si>
  <si>
    <t>Page d'accueil - carrousel</t>
  </si>
  <si>
    <t>Page d'accueil - dernières trois artistes ajoutés dans le club</t>
  </si>
  <si>
    <t>En tant qu'utilisateur on pourrait regarder dans la page d'accueil les 3 dernières artistes ajoutés dans l'application</t>
  </si>
  <si>
    <t>En tant qu'utilisateur on pourrai regarder dans la page d'accueil les 6 dernières  œuvres d'art ajoutés dans l'application</t>
  </si>
  <si>
    <t>Detail d'un artiste</t>
  </si>
  <si>
    <t>En tant qu'utilisateur on pourrait regarder le détail d'un artiste après avoir cliqué sur l'image de son photo.</t>
  </si>
  <si>
    <t xml:space="preserve">Detail d'une œuvre  </t>
  </si>
  <si>
    <t>Modification de Photo et œuvres par l'artiste</t>
  </si>
  <si>
    <t>Suppression de Photo et œuvres par l'artiste</t>
  </si>
  <si>
    <t>En tant qu'utilisateur, avec le role d'artiste ou membre du club,  on peut ajouter mon photo, mes donnes personnelles et mes œuvres dans la boutique.</t>
  </si>
  <si>
    <t>En tant qu'utilisateur on pourrait regarder le détail d'une œuvre après avoir cliqué sur l'image d'une œuvre.</t>
  </si>
  <si>
    <t>Liste des Artistes selon le module de Sélection</t>
  </si>
  <si>
    <t>Exposition des œuvres selon le module de Sélection et sans prix</t>
  </si>
  <si>
    <t>Boutique</t>
  </si>
  <si>
    <t>En tant qu'utilisateur, je souhaite regarder tous les œuvres avec prix que je testerais  en cliquant  "Boutique" dans le menu principal, avec le module de sélection.</t>
  </si>
  <si>
    <t>En tant qu'utilisateur, je souhaite regarder tous les nouvelles ajoutées par les membres du club avec prix que je testerais  en cliquant  "Nouvelle" dans le menu principal.</t>
  </si>
  <si>
    <t>Nouvelles - 5 dernières nouvelles</t>
  </si>
  <si>
    <t>Contact</t>
  </si>
  <si>
    <t>Chat</t>
  </si>
  <si>
    <t>En tant qu'utilisateur, je souhaite clavardier avec les autres membres du club</t>
  </si>
  <si>
    <t>En tant qu'utilisateur, je souhaite regarder tou sles façons possible pour me contacter avec les autres membres du club</t>
  </si>
  <si>
    <t>En tant qu'utilisateur, je souhaite regarder tous les artistes  que je testerais  en cliquant  "Artistes" dans le menu principal, selon la sélection de style.</t>
  </si>
  <si>
    <t>Ajout d'une nouvelle</t>
  </si>
  <si>
    <t>En tant qu'utilisateur, avec le role d'artiste ou membre du club,  on peut ajouter une nouvelle.</t>
  </si>
  <si>
    <t>Modification d'une nouvelle</t>
  </si>
  <si>
    <t>En tant qu'utilisateur, avec le role d'artiste ou membre du club,  on peut modifier une nouvelle.</t>
  </si>
  <si>
    <t>Suppresion d'une nouvelle</t>
  </si>
  <si>
    <t>En tant qu'utilisateur, avec le role d'artiste ou membre du club,  on peut supprimer une nouvelle.</t>
  </si>
  <si>
    <t xml:space="preserve">Ajout de Facebook, instagram, etc. </t>
  </si>
  <si>
    <t>En tant qu'utilisateur, je souhaite utiliser facebook, instagram, twiter, etc.</t>
  </si>
  <si>
    <t>Panier</t>
  </si>
  <si>
    <t>En tant qu'utilisateur, je souhaite utiliser l'option de panier en modifiant certains atributes dans les templates liées au achat d'une œuvre.</t>
  </si>
  <si>
    <t>Langues</t>
  </si>
  <si>
    <t>En tant qu'utilisateur, je souhaite utiliser l'application en francais et en anglais</t>
  </si>
  <si>
    <t>Galleries</t>
  </si>
  <si>
    <t>En tant qu'utilisateur, je souhaite regarder les galleries dans la ville de Montreal</t>
  </si>
  <si>
    <t>Spéciaux</t>
  </si>
  <si>
    <t>En tant qu'utilisateur, je souhaite regarder les spéciaux, ajoutées pour les mêmes membres du club</t>
  </si>
  <si>
    <t>Inscription au site (Artiste)</t>
  </si>
  <si>
    <t>Marina</t>
  </si>
  <si>
    <t>Isabel</t>
  </si>
  <si>
    <t>Isabel, Marina</t>
  </si>
  <si>
    <t xml:space="preserve">Écrire le code de  théme </t>
  </si>
  <si>
    <t>Marina, Jésus,Isabel</t>
  </si>
  <si>
    <t>1A</t>
  </si>
  <si>
    <t>3A</t>
  </si>
  <si>
    <t>1E</t>
  </si>
  <si>
    <t xml:space="preserve">Creation de maquette de théme </t>
  </si>
  <si>
    <t>Creation de maquette de sit</t>
  </si>
  <si>
    <t>Creation de la diagramme de class</t>
  </si>
  <si>
    <t>Creation de la Logo</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</si>
</sst>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F800]dddd\,\ mmmm\ dd\,\ yyyy"/>
    <numFmt numFmtId="165" formatCode="[$-409]m/d/yy\ h:mm\ AM/PM;@"/>
    <numFmt numFmtId="166" formatCode="0.0"/>
    <numFmt numFmtId="167" formatCode="ddd"/>
  </numFmts>
  <fonts count="39">
    <font>
      <sz val="10"/>
      <name val="Arial"/>
    </font>
    <font>
      <sz val="8"/>
      <name val="Arial"/>
    </font>
    <font>
      <b/>
      <sz val="8"/>
      <name val="Arial"/>
    </font>
    <font>
      <b/>
      <sz val="10"/>
      <color indexed="9"/>
      <name val="Tahoma"/>
      <family val="2"/>
    </font>
    <font>
      <b/>
      <sz val="10"/>
      <name val="Arial"/>
      <family val="2"/>
    </font>
    <font>
      <sz val="8"/>
      <name val="Arial"/>
      <family val="2"/>
    </font>
    <font>
      <u/>
      <sz val="10"/>
      <color indexed="12"/>
      <name val="Arial"/>
    </font>
    <font>
      <b/>
      <sz val="16"/>
      <color indexed="48"/>
      <name val="Avenir LT Std 35 Light"/>
      <family val="2"/>
    </font>
    <font>
      <b/>
      <sz val="8"/>
      <name val="Arial"/>
      <family val="2"/>
    </font>
    <font>
      <b/>
      <sz val="10"/>
      <color indexed="48"/>
      <name val="Arial"/>
      <family val="2"/>
    </font>
    <font>
      <b/>
      <sz val="10"/>
      <color indexed="17"/>
      <name val="Arial"/>
      <family val="2"/>
    </font>
    <font>
      <b/>
      <sz val="10"/>
      <color indexed="60"/>
      <name val="Arial"/>
      <family val="2"/>
    </font>
    <font>
      <b/>
      <sz val="8"/>
      <color indexed="48"/>
      <name val="Arial"/>
      <family val="2"/>
    </font>
    <font>
      <b/>
      <sz val="10"/>
      <name val="Arial"/>
    </font>
    <font>
      <sz val="10"/>
      <color indexed="48"/>
      <name val="Arial"/>
    </font>
    <font>
      <b/>
      <sz val="8"/>
      <color indexed="81"/>
      <name val="Tahoma"/>
    </font>
    <font>
      <sz val="8"/>
      <color indexed="81"/>
      <name val="Tahoma"/>
    </font>
    <font>
      <b/>
      <sz val="8"/>
      <color indexed="81"/>
      <name val="Tahoma"/>
      <family val="2"/>
    </font>
    <font>
      <sz val="8"/>
      <color indexed="81"/>
      <name val="Tahoma"/>
      <family val="2"/>
    </font>
    <font>
      <b/>
      <sz val="8"/>
      <color indexed="17"/>
      <name val="Tahoma"/>
      <family val="2"/>
    </font>
    <font>
      <i/>
      <sz val="10"/>
      <name val="Arial"/>
      <family val="2"/>
    </font>
    <font>
      <i/>
      <sz val="8"/>
      <name val="Arial"/>
      <family val="2"/>
    </font>
    <font>
      <b/>
      <sz val="14"/>
      <color indexed="16"/>
      <name val="Lucida Sans Unicode"/>
      <family val="2"/>
    </font>
    <font>
      <u/>
      <sz val="8"/>
      <color indexed="12"/>
      <name val="Arial"/>
    </font>
    <font>
      <sz val="8"/>
      <color indexed="10"/>
      <name val="Arial"/>
    </font>
    <font>
      <i/>
      <sz val="10"/>
      <color indexed="16"/>
      <name val="Arial"/>
      <family val="2"/>
    </font>
    <font>
      <sz val="8"/>
      <color indexed="17"/>
      <name val="Arial"/>
      <family val="2"/>
    </font>
    <font>
      <sz val="12"/>
      <color indexed="9"/>
      <name val="Verdana"/>
      <family val="2"/>
    </font>
    <font>
      <sz val="10"/>
      <name val="Verdana"/>
      <family val="2"/>
    </font>
    <font>
      <b/>
      <sz val="12"/>
      <color indexed="18"/>
      <name val="Arial"/>
      <family val="2"/>
    </font>
    <font>
      <b/>
      <sz val="12"/>
      <name val="Arial"/>
      <family val="2"/>
    </font>
    <font>
      <sz val="10"/>
      <color indexed="57"/>
      <name val="Arial"/>
      <family val="2"/>
    </font>
    <font>
      <sz val="10"/>
      <color indexed="52"/>
      <name val="Arial"/>
      <family val="2"/>
    </font>
    <font>
      <b/>
      <i/>
      <sz val="10"/>
      <name val="Arial"/>
      <family val="2"/>
    </font>
    <font>
      <i/>
      <sz val="10"/>
      <color indexed="56"/>
      <name val="Verdana"/>
      <family val="2"/>
    </font>
    <font>
      <sz val="10"/>
      <name val="Arial"/>
      <family val="2"/>
    </font>
    <font>
      <sz val="10"/>
      <color rgb="FF000000"/>
      <name val="Arial"/>
      <family val="2"/>
    </font>
    <font>
      <sz val="10"/>
      <name val="Arial"/>
      <family val="2"/>
      <charset val="204"/>
    </font>
    <font>
      <u/>
      <sz val="8"/>
      <color indexed="12"/>
      <name val="Arial"/>
      <family val="2"/>
      <charset val="204"/>
    </font>
  </fonts>
  <fills count="13">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6"/>
        <bgColor indexed="64"/>
      </patternFill>
    </fill>
    <fill>
      <patternFill patternType="solid">
        <fgColor indexed="9"/>
        <bgColor indexed="64"/>
      </patternFill>
    </fill>
    <fill>
      <patternFill patternType="solid">
        <fgColor indexed="43"/>
        <bgColor indexed="64"/>
      </patternFill>
    </fill>
    <fill>
      <patternFill patternType="solid">
        <fgColor indexed="62"/>
        <bgColor indexed="64"/>
      </patternFill>
    </fill>
    <fill>
      <patternFill patternType="solid">
        <fgColor indexed="18"/>
        <bgColor indexed="64"/>
      </patternFill>
    </fill>
    <fill>
      <patternFill patternType="solid">
        <fgColor theme="0"/>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59999389629810485"/>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bottom/>
      <diagonal/>
    </border>
  </borders>
  <cellStyleXfs count="2">
    <xf numFmtId="0" fontId="0" fillId="0" borderId="0"/>
    <xf numFmtId="0" fontId="6" fillId="0" borderId="0" applyNumberFormat="0" applyFill="0" applyBorder="0" applyAlignment="0" applyProtection="0">
      <alignment vertical="top"/>
      <protection locked="0"/>
    </xf>
  </cellStyleXfs>
  <cellXfs count="134">
    <xf numFmtId="0" fontId="0" fillId="0" borderId="0" xfId="0"/>
    <xf numFmtId="0" fontId="1" fillId="0" borderId="0" xfId="0" applyFont="1"/>
    <xf numFmtId="0" fontId="1" fillId="2" borderId="1" xfId="0" applyFont="1" applyFill="1" applyBorder="1" applyAlignment="1">
      <alignment horizontal="center"/>
    </xf>
    <xf numFmtId="0" fontId="1" fillId="3" borderId="1" xfId="0" applyFont="1" applyFill="1" applyBorder="1"/>
    <xf numFmtId="14" fontId="0" fillId="0" borderId="0" xfId="0" applyNumberFormat="1"/>
    <xf numFmtId="0" fontId="4" fillId="0" borderId="0" xfId="0" applyFont="1" applyAlignment="1">
      <alignment vertical="top"/>
    </xf>
    <xf numFmtId="0" fontId="0" fillId="0" borderId="0" xfId="0" applyAlignment="1">
      <alignment vertical="top"/>
    </xf>
    <xf numFmtId="165" fontId="0" fillId="0" borderId="0" xfId="0" applyNumberFormat="1" applyAlignment="1">
      <alignment vertical="top"/>
    </xf>
    <xf numFmtId="0" fontId="6" fillId="2" borderId="1" xfId="1" applyFill="1" applyBorder="1" applyAlignment="1" applyProtection="1">
      <alignment horizontal="center"/>
    </xf>
    <xf numFmtId="0" fontId="9" fillId="4" borderId="2" xfId="0" applyFont="1" applyFill="1" applyBorder="1" applyAlignment="1">
      <alignment horizontal="center"/>
    </xf>
    <xf numFmtId="0" fontId="9" fillId="4" borderId="3" xfId="0" applyFont="1" applyFill="1" applyBorder="1" applyAlignment="1">
      <alignment horizontal="center"/>
    </xf>
    <xf numFmtId="0" fontId="9" fillId="4" borderId="4" xfId="0" applyFont="1" applyFill="1" applyBorder="1" applyAlignment="1">
      <alignment horizontal="center"/>
    </xf>
    <xf numFmtId="0" fontId="10" fillId="4" borderId="5" xfId="0" applyFont="1" applyFill="1" applyBorder="1"/>
    <xf numFmtId="0" fontId="0" fillId="0" borderId="0" xfId="0" applyBorder="1"/>
    <xf numFmtId="0" fontId="12" fillId="5" borderId="6" xfId="0" applyFont="1" applyFill="1" applyBorder="1" applyAlignment="1">
      <alignment horizontal="left" vertical="top" wrapText="1"/>
    </xf>
    <xf numFmtId="1" fontId="1" fillId="5" borderId="1" xfId="0" applyNumberFormat="1" applyFont="1" applyFill="1" applyBorder="1" applyAlignment="1">
      <alignment horizontal="center" vertical="center"/>
    </xf>
    <xf numFmtId="1" fontId="1" fillId="0" borderId="1" xfId="0" applyNumberFormat="1" applyFont="1" applyBorder="1" applyAlignment="1">
      <alignment horizontal="center" vertical="center"/>
    </xf>
    <xf numFmtId="0" fontId="1" fillId="0" borderId="1" xfId="0" applyNumberFormat="1" applyFont="1" applyBorder="1" applyAlignment="1">
      <alignment horizontal="center" vertical="center"/>
    </xf>
    <xf numFmtId="1" fontId="1" fillId="0" borderId="1" xfId="0" applyNumberFormat="1" applyFont="1" applyFill="1" applyBorder="1" applyAlignment="1">
      <alignment horizontal="center" vertical="center"/>
    </xf>
    <xf numFmtId="0" fontId="12" fillId="5" borderId="1" xfId="0" applyFont="1" applyFill="1" applyBorder="1" applyAlignment="1">
      <alignment horizontal="left" vertical="top" wrapText="1"/>
    </xf>
    <xf numFmtId="49" fontId="1" fillId="0" borderId="1" xfId="0" applyNumberFormat="1" applyFont="1" applyFill="1" applyBorder="1" applyAlignment="1">
      <alignment horizontal="center" vertical="center"/>
    </xf>
    <xf numFmtId="0" fontId="12" fillId="0" borderId="1" xfId="0" applyFont="1" applyFill="1" applyBorder="1" applyAlignment="1">
      <alignment horizontal="left" vertical="top" wrapText="1"/>
    </xf>
    <xf numFmtId="49" fontId="0" fillId="0" borderId="0" xfId="0" applyNumberFormat="1" applyFill="1" applyBorder="1" applyAlignment="1">
      <alignment horizontal="center" vertical="center"/>
    </xf>
    <xf numFmtId="0" fontId="14" fillId="0" borderId="0" xfId="0" applyFont="1" applyFill="1" applyBorder="1" applyAlignment="1">
      <alignment horizontal="left" vertical="top" wrapText="1"/>
    </xf>
    <xf numFmtId="0" fontId="0" fillId="0" borderId="0" xfId="0" applyFill="1" applyBorder="1" applyAlignment="1">
      <alignment horizontal="center"/>
    </xf>
    <xf numFmtId="0" fontId="0" fillId="0" borderId="0" xfId="0" applyFill="1" applyBorder="1"/>
    <xf numFmtId="2" fontId="4" fillId="0" borderId="0" xfId="0" applyNumberFormat="1" applyFont="1" applyFill="1" applyBorder="1" applyAlignment="1">
      <alignment horizontal="right"/>
    </xf>
    <xf numFmtId="166" fontId="0" fillId="0" borderId="0" xfId="0" applyNumberFormat="1" applyBorder="1" applyAlignment="1">
      <alignment vertical="top" wrapText="1"/>
    </xf>
    <xf numFmtId="2" fontId="0" fillId="0" borderId="0" xfId="0" applyNumberFormat="1" applyFill="1" applyBorder="1" applyAlignment="1">
      <alignment horizontal="center"/>
    </xf>
    <xf numFmtId="49" fontId="0" fillId="0" borderId="0" xfId="0" applyNumberFormat="1" applyBorder="1" applyAlignment="1">
      <alignment vertical="top" wrapText="1"/>
    </xf>
    <xf numFmtId="49" fontId="0" fillId="0" borderId="0" xfId="0" applyNumberFormat="1" applyFill="1" applyBorder="1"/>
    <xf numFmtId="0" fontId="2" fillId="2" borderId="7" xfId="0" applyFont="1" applyFill="1" applyBorder="1" applyAlignment="1">
      <alignment horizontal="center"/>
    </xf>
    <xf numFmtId="0" fontId="2" fillId="0" borderId="8" xfId="0" applyFont="1" applyBorder="1"/>
    <xf numFmtId="0" fontId="2" fillId="0" borderId="9" xfId="0" applyFont="1" applyBorder="1"/>
    <xf numFmtId="0" fontId="2" fillId="0" borderId="10" xfId="0" applyFont="1" applyBorder="1"/>
    <xf numFmtId="0" fontId="21" fillId="0" borderId="0" xfId="0" applyFont="1"/>
    <xf numFmtId="1" fontId="13" fillId="5" borderId="1" xfId="0" applyNumberFormat="1" applyFont="1" applyFill="1" applyBorder="1" applyAlignment="1">
      <alignment horizontal="center" vertical="center" wrapText="1"/>
    </xf>
    <xf numFmtId="1" fontId="0" fillId="0" borderId="1" xfId="0" applyNumberFormat="1" applyFill="1" applyBorder="1" applyAlignment="1">
      <alignment horizontal="center"/>
    </xf>
    <xf numFmtId="1" fontId="9" fillId="5" borderId="6" xfId="0" applyNumberFormat="1" applyFont="1" applyFill="1" applyBorder="1" applyAlignment="1">
      <alignment horizontal="center" vertical="top" wrapText="1"/>
    </xf>
    <xf numFmtId="1" fontId="9" fillId="5" borderId="11" xfId="0" applyNumberFormat="1" applyFont="1" applyFill="1" applyBorder="1" applyAlignment="1">
      <alignment horizontal="center" vertical="top" wrapText="1"/>
    </xf>
    <xf numFmtId="1" fontId="9" fillId="5" borderId="1" xfId="0" applyNumberFormat="1" applyFont="1" applyFill="1" applyBorder="1" applyAlignment="1">
      <alignment horizontal="center" vertical="top" wrapText="1"/>
    </xf>
    <xf numFmtId="1" fontId="4" fillId="0" borderId="1" xfId="0" applyNumberFormat="1" applyFont="1" applyBorder="1" applyAlignment="1">
      <alignment horizontal="center"/>
    </xf>
    <xf numFmtId="1" fontId="4" fillId="5" borderId="1" xfId="0" applyNumberFormat="1" applyFont="1" applyFill="1" applyBorder="1" applyAlignment="1">
      <alignment horizontal="center" vertical="center" wrapText="1"/>
    </xf>
    <xf numFmtId="1" fontId="4" fillId="5" borderId="12" xfId="0" applyNumberFormat="1" applyFont="1" applyFill="1" applyBorder="1" applyAlignment="1">
      <alignment horizontal="center" vertical="center" wrapText="1"/>
    </xf>
    <xf numFmtId="1" fontId="4" fillId="0" borderId="12" xfId="0" applyNumberFormat="1" applyFont="1" applyBorder="1" applyAlignment="1">
      <alignment horizontal="center"/>
    </xf>
    <xf numFmtId="49" fontId="23" fillId="5" borderId="1" xfId="1" applyNumberFormat="1" applyFont="1" applyFill="1" applyBorder="1" applyAlignment="1" applyProtection="1">
      <alignment horizontal="center" vertical="center"/>
    </xf>
    <xf numFmtId="49" fontId="23" fillId="5" borderId="13" xfId="1" applyNumberFormat="1" applyFont="1" applyFill="1" applyBorder="1" applyAlignment="1" applyProtection="1">
      <alignment horizontal="center" vertical="center"/>
    </xf>
    <xf numFmtId="0" fontId="11" fillId="5" borderId="0" xfId="0" applyFont="1" applyFill="1" applyBorder="1" applyAlignment="1">
      <alignment horizontal="center"/>
    </xf>
    <xf numFmtId="167" fontId="11" fillId="5" borderId="14" xfId="0" applyNumberFormat="1" applyFont="1" applyFill="1" applyBorder="1" applyAlignment="1">
      <alignment horizontal="center" wrapText="1"/>
    </xf>
    <xf numFmtId="1" fontId="1" fillId="5" borderId="15" xfId="0" applyNumberFormat="1" applyFont="1" applyFill="1" applyBorder="1" applyAlignment="1">
      <alignment horizontal="center" vertical="center"/>
    </xf>
    <xf numFmtId="1" fontId="1" fillId="0" borderId="15" xfId="0" applyNumberFormat="1" applyFont="1" applyBorder="1" applyAlignment="1">
      <alignment horizontal="center" vertical="center"/>
    </xf>
    <xf numFmtId="1" fontId="1" fillId="0" borderId="15" xfId="0" applyNumberFormat="1" applyFont="1" applyFill="1" applyBorder="1" applyAlignment="1">
      <alignment horizontal="center" vertical="center"/>
    </xf>
    <xf numFmtId="167" fontId="11" fillId="5" borderId="2" xfId="0" applyNumberFormat="1" applyFont="1" applyFill="1" applyBorder="1" applyAlignment="1">
      <alignment horizontal="center" wrapText="1"/>
    </xf>
    <xf numFmtId="1" fontId="1" fillId="0" borderId="9" xfId="0" applyNumberFormat="1" applyFont="1" applyBorder="1" applyAlignment="1">
      <alignment horizontal="center" vertical="center"/>
    </xf>
    <xf numFmtId="1" fontId="24" fillId="0" borderId="1" xfId="0" applyNumberFormat="1" applyFont="1" applyBorder="1" applyAlignment="1">
      <alignment horizontal="center" vertical="center"/>
    </xf>
    <xf numFmtId="0" fontId="1" fillId="0" borderId="15" xfId="0" applyNumberFormat="1" applyFont="1" applyBorder="1" applyAlignment="1">
      <alignment horizontal="center" vertical="center"/>
    </xf>
    <xf numFmtId="0" fontId="0" fillId="5" borderId="0" xfId="0" applyFill="1"/>
    <xf numFmtId="0" fontId="4" fillId="5" borderId="0" xfId="0" applyFont="1" applyFill="1"/>
    <xf numFmtId="1" fontId="20" fillId="0" borderId="0" xfId="0" applyNumberFormat="1" applyFont="1" applyFill="1" applyBorder="1" applyAlignment="1">
      <alignment horizontal="center"/>
    </xf>
    <xf numFmtId="0" fontId="4" fillId="0" borderId="0" xfId="0" applyFont="1" applyBorder="1"/>
    <xf numFmtId="0" fontId="5" fillId="3" borderId="16" xfId="0" applyFont="1" applyFill="1" applyBorder="1"/>
    <xf numFmtId="0" fontId="5" fillId="3" borderId="17" xfId="0" applyFont="1" applyFill="1" applyBorder="1"/>
    <xf numFmtId="0" fontId="1" fillId="3" borderId="1" xfId="0" applyFont="1" applyFill="1" applyBorder="1" applyAlignment="1">
      <alignment wrapText="1"/>
    </xf>
    <xf numFmtId="49" fontId="1" fillId="3" borderId="1" xfId="0" applyNumberFormat="1" applyFont="1" applyFill="1" applyBorder="1" applyAlignment="1">
      <alignment wrapText="1"/>
    </xf>
    <xf numFmtId="0" fontId="1" fillId="3" borderId="1" xfId="0" applyFont="1" applyFill="1" applyBorder="1" applyAlignment="1">
      <alignment horizontal="center"/>
    </xf>
    <xf numFmtId="0" fontId="5" fillId="6" borderId="15" xfId="0" applyFont="1" applyFill="1" applyBorder="1" applyAlignment="1">
      <alignment horizontal="center"/>
    </xf>
    <xf numFmtId="0" fontId="1" fillId="6" borderId="1" xfId="0" applyFont="1" applyFill="1" applyBorder="1" applyAlignment="1">
      <alignment horizontal="center"/>
    </xf>
    <xf numFmtId="0" fontId="31" fillId="0" borderId="0" xfId="0" applyFont="1"/>
    <xf numFmtId="0" fontId="4" fillId="0" borderId="0" xfId="0" applyFont="1" applyAlignment="1">
      <alignment horizontal="right" vertical="top"/>
    </xf>
    <xf numFmtId="1" fontId="9" fillId="0" borderId="0" xfId="0" applyNumberFormat="1" applyFont="1" applyFill="1" applyBorder="1" applyAlignment="1">
      <alignment horizontal="center" vertical="top" wrapText="1"/>
    </xf>
    <xf numFmtId="166" fontId="25" fillId="0" borderId="0" xfId="0" applyNumberFormat="1" applyFont="1" applyBorder="1" applyAlignment="1">
      <alignment vertical="top" wrapText="1"/>
    </xf>
    <xf numFmtId="166" fontId="20" fillId="0" borderId="0" xfId="0" applyNumberFormat="1" applyFont="1" applyBorder="1" applyAlignment="1">
      <alignment vertical="top" wrapText="1"/>
    </xf>
    <xf numFmtId="0" fontId="7" fillId="5" borderId="0" xfId="0" applyFont="1" applyFill="1"/>
    <xf numFmtId="0" fontId="8" fillId="5" borderId="0" xfId="0" applyFont="1" applyFill="1" applyAlignment="1">
      <alignment horizontal="right"/>
    </xf>
    <xf numFmtId="164" fontId="5" fillId="5" borderId="0" xfId="0" applyNumberFormat="1" applyFont="1" applyFill="1"/>
    <xf numFmtId="1" fontId="33" fillId="5" borderId="0" xfId="0" applyNumberFormat="1" applyFont="1" applyFill="1" applyAlignment="1">
      <alignment horizontal="center"/>
    </xf>
    <xf numFmtId="0" fontId="0" fillId="5" borderId="0" xfId="0" applyFill="1" applyBorder="1"/>
    <xf numFmtId="0" fontId="4" fillId="5" borderId="0" xfId="0" applyFont="1" applyFill="1" applyBorder="1"/>
    <xf numFmtId="166" fontId="0" fillId="5" borderId="0" xfId="0" applyNumberFormat="1" applyFill="1" applyBorder="1" applyAlignment="1">
      <alignment vertical="top" wrapText="1"/>
    </xf>
    <xf numFmtId="49" fontId="0" fillId="5" borderId="0" xfId="0" applyNumberFormat="1" applyFill="1" applyBorder="1" applyAlignment="1">
      <alignment horizontal="center" vertical="center"/>
    </xf>
    <xf numFmtId="1" fontId="9" fillId="5" borderId="0" xfId="0" applyNumberFormat="1" applyFont="1" applyFill="1" applyBorder="1" applyAlignment="1">
      <alignment horizontal="center" vertical="top" wrapText="1"/>
    </xf>
    <xf numFmtId="2" fontId="0" fillId="5" borderId="0" xfId="0" applyNumberFormat="1" applyFill="1" applyBorder="1" applyAlignment="1">
      <alignment horizontal="center"/>
    </xf>
    <xf numFmtId="49" fontId="0" fillId="5" borderId="0" xfId="0" applyNumberFormat="1" applyFill="1" applyBorder="1" applyAlignment="1">
      <alignment vertical="top" wrapText="1"/>
    </xf>
    <xf numFmtId="0" fontId="14" fillId="5" borderId="0" xfId="0" applyFont="1" applyFill="1" applyBorder="1" applyAlignment="1">
      <alignment horizontal="left" vertical="top" wrapText="1"/>
    </xf>
    <xf numFmtId="49" fontId="0" fillId="5" borderId="0" xfId="0" applyNumberFormat="1" applyFill="1" applyBorder="1"/>
    <xf numFmtId="0" fontId="21" fillId="5" borderId="0" xfId="0" applyFont="1" applyFill="1"/>
    <xf numFmtId="0" fontId="13" fillId="5" borderId="1" xfId="0" applyFont="1" applyFill="1" applyBorder="1" applyAlignment="1">
      <alignment horizontal="center" vertical="center" wrapText="1"/>
    </xf>
    <xf numFmtId="2" fontId="29" fillId="5" borderId="1" xfId="0" applyNumberFormat="1" applyFont="1" applyFill="1" applyBorder="1" applyAlignment="1">
      <alignment wrapText="1"/>
    </xf>
    <xf numFmtId="1" fontId="29" fillId="5" borderId="1" xfId="0" applyNumberFormat="1" applyFont="1" applyFill="1" applyBorder="1"/>
    <xf numFmtId="0" fontId="30" fillId="5" borderId="1" xfId="0" applyFont="1" applyFill="1" applyBorder="1"/>
    <xf numFmtId="0" fontId="20" fillId="5" borderId="0" xfId="0" applyFont="1" applyFill="1"/>
    <xf numFmtId="0" fontId="20" fillId="5" borderId="0" xfId="0" applyFont="1" applyFill="1" applyAlignment="1">
      <alignment wrapText="1"/>
    </xf>
    <xf numFmtId="0" fontId="0" fillId="5" borderId="0" xfId="0" applyFill="1" applyAlignment="1">
      <alignment wrapText="1"/>
    </xf>
    <xf numFmtId="0" fontId="4" fillId="5" borderId="1" xfId="0" applyFont="1" applyFill="1" applyBorder="1" applyAlignment="1">
      <alignment horizontal="right"/>
    </xf>
    <xf numFmtId="0" fontId="4" fillId="5" borderId="1" xfId="0" applyFont="1" applyFill="1" applyBorder="1" applyAlignment="1">
      <alignment wrapText="1"/>
    </xf>
    <xf numFmtId="0" fontId="4" fillId="5" borderId="1" xfId="0" applyFont="1" applyFill="1" applyBorder="1"/>
    <xf numFmtId="0" fontId="33" fillId="5" borderId="0" xfId="0" applyFont="1" applyFill="1" applyAlignment="1">
      <alignment horizontal="center" vertical="center" wrapText="1"/>
    </xf>
    <xf numFmtId="0" fontId="0" fillId="5" borderId="1" xfId="0" applyFill="1" applyBorder="1"/>
    <xf numFmtId="1" fontId="20" fillId="5" borderId="1" xfId="0" applyNumberFormat="1" applyFont="1" applyFill="1" applyBorder="1"/>
    <xf numFmtId="0" fontId="6" fillId="0" borderId="0" xfId="1" applyAlignment="1" applyProtection="1"/>
    <xf numFmtId="0" fontId="5" fillId="3" borderId="1" xfId="0" applyFont="1" applyFill="1" applyBorder="1"/>
    <xf numFmtId="0" fontId="5" fillId="3" borderId="1" xfId="0" applyFont="1" applyFill="1" applyBorder="1" applyAlignment="1">
      <alignment horizontal="center"/>
    </xf>
    <xf numFmtId="0" fontId="5" fillId="6" borderId="1" xfId="0" applyFont="1" applyFill="1" applyBorder="1" applyAlignment="1">
      <alignment horizontal="center"/>
    </xf>
    <xf numFmtId="0" fontId="0" fillId="0" borderId="0" xfId="0" applyAlignment="1">
      <alignment wrapText="1"/>
    </xf>
    <xf numFmtId="0" fontId="2" fillId="0" borderId="9" xfId="0" applyFont="1" applyBorder="1" applyAlignment="1">
      <alignment wrapText="1"/>
    </xf>
    <xf numFmtId="0" fontId="5" fillId="3" borderId="1" xfId="0" applyFont="1" applyFill="1" applyBorder="1" applyAlignment="1">
      <alignment wrapText="1"/>
    </xf>
    <xf numFmtId="0" fontId="5" fillId="3" borderId="1" xfId="0" applyFont="1" applyFill="1" applyBorder="1" applyAlignment="1">
      <alignment vertical="center" wrapText="1"/>
    </xf>
    <xf numFmtId="0" fontId="35" fillId="0" borderId="0" xfId="0" applyFont="1"/>
    <xf numFmtId="0" fontId="0" fillId="10" borderId="0" xfId="0" applyFill="1"/>
    <xf numFmtId="0" fontId="5" fillId="10" borderId="20" xfId="0" applyFont="1" applyFill="1" applyBorder="1"/>
    <xf numFmtId="0" fontId="0" fillId="11" borderId="0" xfId="0" applyFill="1"/>
    <xf numFmtId="0" fontId="0" fillId="12" borderId="0" xfId="0" applyFill="1"/>
    <xf numFmtId="0" fontId="0" fillId="9" borderId="0" xfId="0" applyFill="1" applyBorder="1" applyAlignment="1">
      <alignment horizontal="center"/>
    </xf>
    <xf numFmtId="0" fontId="36" fillId="11" borderId="0" xfId="0" applyFont="1" applyFill="1"/>
    <xf numFmtId="0" fontId="35" fillId="11" borderId="0" xfId="0" applyFont="1" applyFill="1"/>
    <xf numFmtId="0" fontId="12" fillId="5" borderId="1" xfId="0" applyFont="1" applyFill="1" applyBorder="1" applyAlignment="1">
      <alignment horizontal="left" vertical="distributed" wrapText="1"/>
    </xf>
    <xf numFmtId="0" fontId="27" fillId="7" borderId="0" xfId="0" applyFont="1" applyFill="1" applyAlignment="1">
      <alignment horizontal="center"/>
    </xf>
    <xf numFmtId="0" fontId="28" fillId="5" borderId="5" xfId="0" applyFont="1" applyFill="1" applyBorder="1" applyAlignment="1">
      <alignment horizontal="right"/>
    </xf>
    <xf numFmtId="0" fontId="28" fillId="5" borderId="18" xfId="0" applyFont="1" applyFill="1" applyBorder="1" applyAlignment="1">
      <alignment horizontal="right"/>
    </xf>
    <xf numFmtId="0" fontId="28" fillId="5" borderId="19" xfId="0" applyFont="1" applyFill="1" applyBorder="1" applyAlignment="1">
      <alignment horizontal="center"/>
    </xf>
    <xf numFmtId="0" fontId="28" fillId="5" borderId="18" xfId="0" applyFont="1" applyFill="1" applyBorder="1" applyAlignment="1">
      <alignment horizontal="center"/>
    </xf>
    <xf numFmtId="0" fontId="3" fillId="8" borderId="0" xfId="0" applyFont="1" applyFill="1" applyAlignment="1">
      <alignment horizontal="center"/>
    </xf>
    <xf numFmtId="0" fontId="34" fillId="0" borderId="0" xfId="0" applyFont="1" applyAlignment="1">
      <alignment horizontal="center"/>
    </xf>
    <xf numFmtId="0" fontId="0" fillId="5" borderId="0" xfId="0" applyFill="1" applyAlignment="1">
      <alignment horizontal="center"/>
    </xf>
    <xf numFmtId="1" fontId="26" fillId="5" borderId="0" xfId="0" applyNumberFormat="1" applyFont="1" applyFill="1" applyAlignment="1">
      <alignment horizontal="left"/>
    </xf>
    <xf numFmtId="0" fontId="22" fillId="5" borderId="5" xfId="0" applyFont="1" applyFill="1" applyBorder="1" applyAlignment="1">
      <alignment horizontal="center"/>
    </xf>
    <xf numFmtId="0" fontId="22" fillId="5" borderId="19" xfId="0" applyFont="1" applyFill="1" applyBorder="1" applyAlignment="1">
      <alignment horizontal="center"/>
    </xf>
    <xf numFmtId="0" fontId="22" fillId="5" borderId="18" xfId="0" applyFont="1" applyFill="1" applyBorder="1" applyAlignment="1">
      <alignment horizontal="center"/>
    </xf>
    <xf numFmtId="0" fontId="0" fillId="5" borderId="16" xfId="0" applyFill="1" applyBorder="1" applyAlignment="1">
      <alignment horizontal="center" textRotation="90"/>
    </xf>
    <xf numFmtId="0" fontId="0" fillId="5" borderId="0" xfId="0" applyFill="1" applyAlignment="1">
      <alignment horizontal="right"/>
    </xf>
    <xf numFmtId="1" fontId="37" fillId="5" borderId="1" xfId="0" applyNumberFormat="1" applyFont="1" applyFill="1" applyBorder="1" applyAlignment="1">
      <alignment horizontal="center" vertical="center" wrapText="1"/>
    </xf>
    <xf numFmtId="1" fontId="37" fillId="5" borderId="12" xfId="0" applyNumberFormat="1" applyFont="1" applyFill="1" applyBorder="1" applyAlignment="1">
      <alignment horizontal="center" vertical="center" wrapText="1"/>
    </xf>
    <xf numFmtId="1" fontId="37" fillId="0" borderId="12" xfId="0" applyNumberFormat="1" applyFont="1" applyBorder="1" applyAlignment="1">
      <alignment horizontal="center"/>
    </xf>
    <xf numFmtId="49" fontId="38" fillId="5" borderId="1" xfId="1" applyNumberFormat="1" applyFont="1" applyFill="1" applyBorder="1" applyAlignment="1" applyProtection="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04"/>
          <c:y val="4.3010752688172046E-2"/>
        </c:manualLayout>
      </c:layout>
      <c:overlay val="0"/>
      <c:spPr>
        <a:noFill/>
        <a:ln w="25400">
          <a:noFill/>
        </a:ln>
      </c:spPr>
    </c:title>
    <c:autoTitleDeleted val="0"/>
    <c:plotArea>
      <c:layout>
        <c:manualLayout>
          <c:layoutTarget val="inner"/>
          <c:xMode val="edge"/>
          <c:yMode val="edge"/>
          <c:x val="0.10206896551724139"/>
          <c:y val="0.19086071609520985"/>
          <c:w val="0.71724137931034482"/>
          <c:h val="0.59946393928495489"/>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ru-RU"/>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val>
            <c:numRef>
              <c:f>'Sprint 1'!$E$15:$N$15</c:f>
              <c:numCache>
                <c:formatCode>0</c:formatCode>
                <c:ptCount val="10"/>
                <c:pt idx="0">
                  <c:v>50</c:v>
                </c:pt>
                <c:pt idx="1">
                  <c:v>43</c:v>
                </c:pt>
                <c:pt idx="2">
                  <c:v>36</c:v>
                </c:pt>
                <c:pt idx="3">
                  <c:v>30</c:v>
                </c:pt>
                <c:pt idx="4">
                  <c:v>21</c:v>
                </c:pt>
                <c:pt idx="5">
                  <c:v>16</c:v>
                </c:pt>
                <c:pt idx="6">
                  <c:v>19</c:v>
                </c:pt>
                <c:pt idx="7">
                  <c:v>7</c:v>
                </c:pt>
                <c:pt idx="8">
                  <c:v>0</c:v>
                </c:pt>
                <c:pt idx="9">
                  <c:v>0</c:v>
                </c:pt>
              </c:numCache>
            </c:numRef>
          </c:val>
          <c:smooth val="1"/>
          <c:extLst xmlns:c16r2="http://schemas.microsoft.com/office/drawing/2015/06/chart">
            <c:ext xmlns:c16="http://schemas.microsoft.com/office/drawing/2014/chart" uri="{C3380CC4-5D6E-409C-BE32-E72D297353CC}">
              <c16:uniqueId val="{00000000-6A4D-41BE-82BC-5A7BCB3A8A82}"/>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1'!$E$16:$N$16</c:f>
              <c:numCache>
                <c:formatCode>0.0</c:formatCode>
                <c:ptCount val="10"/>
                <c:pt idx="0">
                  <c:v>50</c:v>
                </c:pt>
                <c:pt idx="1">
                  <c:v>44.444444444444443</c:v>
                </c:pt>
                <c:pt idx="2">
                  <c:v>38.888888888888886</c:v>
                </c:pt>
                <c:pt idx="3">
                  <c:v>33.333333333333336</c:v>
                </c:pt>
                <c:pt idx="4">
                  <c:v>27.777777777777779</c:v>
                </c:pt>
                <c:pt idx="5">
                  <c:v>22.222222222222221</c:v>
                </c:pt>
                <c:pt idx="6">
                  <c:v>16.666666666666671</c:v>
                </c:pt>
                <c:pt idx="7">
                  <c:v>11.111111111111114</c:v>
                </c:pt>
                <c:pt idx="8">
                  <c:v>5.5555555555555571</c:v>
                </c:pt>
                <c:pt idx="9">
                  <c:v>0</c:v>
                </c:pt>
              </c:numCache>
            </c:numRef>
          </c:val>
          <c:smooth val="1"/>
          <c:extLst xmlns:c16r2="http://schemas.microsoft.com/office/drawing/2015/06/chart">
            <c:ext xmlns:c16="http://schemas.microsoft.com/office/drawing/2014/chart" uri="{C3380CC4-5D6E-409C-BE32-E72D297353CC}">
              <c16:uniqueId val="{00000001-6A4D-41BE-82BC-5A7BCB3A8A82}"/>
            </c:ext>
          </c:extLst>
        </c:ser>
        <c:dLbls>
          <c:showLegendKey val="0"/>
          <c:showVal val="0"/>
          <c:showCatName val="0"/>
          <c:showSerName val="0"/>
          <c:showPercent val="0"/>
          <c:showBubbleSize val="0"/>
        </c:dLbls>
        <c:marker val="1"/>
        <c:smooth val="0"/>
        <c:axId val="325110192"/>
        <c:axId val="383985520"/>
      </c:lineChart>
      <c:catAx>
        <c:axId val="325110192"/>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8964"/>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ru-RU"/>
          </a:p>
        </c:txPr>
        <c:crossAx val="383985520"/>
        <c:crosses val="autoZero"/>
        <c:auto val="0"/>
        <c:lblAlgn val="ctr"/>
        <c:lblOffset val="100"/>
        <c:tickLblSkip val="1"/>
        <c:tickMarkSkip val="1"/>
        <c:noMultiLvlLbl val="0"/>
      </c:catAx>
      <c:valAx>
        <c:axId val="383985520"/>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39E-2"/>
              <c:y val="0.357527728388790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ru-RU"/>
          </a:p>
        </c:txPr>
        <c:crossAx val="325110192"/>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245"/>
          <c:y val="0.42742048372985636"/>
          <c:w val="0.15448275862068961"/>
          <c:h val="0.1263443682442920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ru-RU"/>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ru-RU"/>
    </a:p>
  </c:txPr>
  <c:printSettings>
    <c:headerFooter alignWithMargins="0"/>
    <c:pageMargins b="0.984251969" l="0.78740157499999996" r="0.78740157499999996" t="0.984251969"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04"/>
          <c:y val="4.3010752688172046E-2"/>
        </c:manualLayout>
      </c:layout>
      <c:overlay val="0"/>
      <c:spPr>
        <a:noFill/>
        <a:ln w="25400">
          <a:noFill/>
        </a:ln>
      </c:spPr>
    </c:title>
    <c:autoTitleDeleted val="0"/>
    <c:plotArea>
      <c:layout>
        <c:manualLayout>
          <c:layoutTarget val="inner"/>
          <c:xMode val="edge"/>
          <c:yMode val="edge"/>
          <c:x val="0.10206896551724139"/>
          <c:y val="0.19086071609520985"/>
          <c:w val="0.71724137931034482"/>
          <c:h val="0.59946393928495489"/>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ru-RU"/>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val>
            <c:numRef>
              <c:f>'Sprint 2'!$E$17:$N$17</c:f>
              <c:numCache>
                <c:formatCode>0</c:formatCode>
                <c:ptCount val="10"/>
                <c:pt idx="0">
                  <c:v>0</c:v>
                </c:pt>
                <c:pt idx="1">
                  <c:v>0</c:v>
                </c:pt>
                <c:pt idx="2">
                  <c:v>0</c:v>
                </c:pt>
                <c:pt idx="3">
                  <c:v>0</c:v>
                </c:pt>
                <c:pt idx="4">
                  <c:v>0</c:v>
                </c:pt>
                <c:pt idx="5">
                  <c:v>0</c:v>
                </c:pt>
                <c:pt idx="6">
                  <c:v>0</c:v>
                </c:pt>
                <c:pt idx="7">
                  <c:v>0</c:v>
                </c:pt>
                <c:pt idx="8">
                  <c:v>0</c:v>
                </c:pt>
                <c:pt idx="9">
                  <c:v>0</c:v>
                </c:pt>
              </c:numCache>
            </c:numRef>
          </c:val>
          <c:smooth val="1"/>
          <c:extLst xmlns:c16r2="http://schemas.microsoft.com/office/drawing/2015/06/chart">
            <c:ext xmlns:c16="http://schemas.microsoft.com/office/drawing/2014/chart" uri="{C3380CC4-5D6E-409C-BE32-E72D297353CC}">
              <c16:uniqueId val="{00000000-6E4A-4438-8D70-E0A002806FB3}"/>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2'!$E$18:$N$18</c:f>
              <c:numCache>
                <c:formatCode>0.0</c:formatCode>
                <c:ptCount val="10"/>
                <c:pt idx="0">
                  <c:v>10</c:v>
                </c:pt>
                <c:pt idx="1">
                  <c:v>8.8888888888888893</c:v>
                </c:pt>
                <c:pt idx="2">
                  <c:v>7.7777777777777777</c:v>
                </c:pt>
                <c:pt idx="3">
                  <c:v>6.6666666666666661</c:v>
                </c:pt>
                <c:pt idx="4">
                  <c:v>5.5555555555555554</c:v>
                </c:pt>
                <c:pt idx="5">
                  <c:v>4.4444444444444446</c:v>
                </c:pt>
                <c:pt idx="6">
                  <c:v>3.333333333333333</c:v>
                </c:pt>
                <c:pt idx="7">
                  <c:v>2.2222222222222214</c:v>
                </c:pt>
                <c:pt idx="8">
                  <c:v>1.1111111111111107</c:v>
                </c:pt>
                <c:pt idx="9">
                  <c:v>0</c:v>
                </c:pt>
              </c:numCache>
            </c:numRef>
          </c:val>
          <c:smooth val="1"/>
          <c:extLst xmlns:c16r2="http://schemas.microsoft.com/office/drawing/2015/06/chart">
            <c:ext xmlns:c16="http://schemas.microsoft.com/office/drawing/2014/chart" uri="{C3380CC4-5D6E-409C-BE32-E72D297353CC}">
              <c16:uniqueId val="{00000001-6E4A-4438-8D70-E0A002806FB3}"/>
            </c:ext>
          </c:extLst>
        </c:ser>
        <c:dLbls>
          <c:showLegendKey val="0"/>
          <c:showVal val="0"/>
          <c:showCatName val="0"/>
          <c:showSerName val="0"/>
          <c:showPercent val="0"/>
          <c:showBubbleSize val="0"/>
        </c:dLbls>
        <c:marker val="1"/>
        <c:smooth val="0"/>
        <c:axId val="383989048"/>
        <c:axId val="383988264"/>
      </c:lineChart>
      <c:catAx>
        <c:axId val="383989048"/>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8964"/>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ru-RU"/>
          </a:p>
        </c:txPr>
        <c:crossAx val="383988264"/>
        <c:crosses val="autoZero"/>
        <c:auto val="0"/>
        <c:lblAlgn val="ctr"/>
        <c:lblOffset val="100"/>
        <c:tickLblSkip val="1"/>
        <c:tickMarkSkip val="1"/>
        <c:noMultiLvlLbl val="0"/>
      </c:catAx>
      <c:valAx>
        <c:axId val="383988264"/>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39E-2"/>
              <c:y val="0.357527728388790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ru-RU"/>
          </a:p>
        </c:txPr>
        <c:crossAx val="383989048"/>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245"/>
          <c:y val="0.42742048372985636"/>
          <c:w val="0.15448275862068961"/>
          <c:h val="0.1263443682442920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ru-RU"/>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ru-RU"/>
    </a:p>
  </c:txPr>
  <c:printSettings>
    <c:headerFooter alignWithMargins="0"/>
    <c:pageMargins b="0.984251969" l="0.78740157499999996" r="0.78740157499999996" t="0.984251969" header="0.5" footer="0.5"/>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628650</xdr:colOff>
      <xdr:row>16</xdr:row>
      <xdr:rowOff>152400</xdr:rowOff>
    </xdr:from>
    <xdr:to>
      <xdr:col>8</xdr:col>
      <xdr:colOff>447675</xdr:colOff>
      <xdr:row>38</xdr:row>
      <xdr:rowOff>133350</xdr:rowOff>
    </xdr:to>
    <xdr:graphicFrame macro="">
      <xdr:nvGraphicFramePr>
        <xdr:cNvPr id="2063"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628650</xdr:colOff>
      <xdr:row>18</xdr:row>
      <xdr:rowOff>152400</xdr:rowOff>
    </xdr:from>
    <xdr:to>
      <xdr:col>8</xdr:col>
      <xdr:colOff>447675</xdr:colOff>
      <xdr:row>40</xdr:row>
      <xdr:rowOff>133350</xdr:rowOff>
    </xdr:to>
    <xdr:graphicFrame macro="">
      <xdr:nvGraphicFramePr>
        <xdr:cNvPr id="22542"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53"/>
  <sheetViews>
    <sheetView topLeftCell="A40" workbookViewId="0">
      <selection activeCell="C30" sqref="C30"/>
    </sheetView>
  </sheetViews>
  <sheetFormatPr defaultColWidth="10.90625" defaultRowHeight="12.5"/>
  <sheetData>
    <row r="1" spans="1:17">
      <c r="A1" s="56"/>
      <c r="B1" s="56"/>
      <c r="C1" s="56"/>
      <c r="D1" s="56"/>
      <c r="E1" s="56"/>
      <c r="F1" s="56"/>
      <c r="G1" s="56"/>
      <c r="H1" s="56"/>
      <c r="I1" s="56"/>
      <c r="J1" s="56"/>
      <c r="K1" s="56"/>
      <c r="L1" s="56"/>
      <c r="M1" s="56"/>
      <c r="N1" s="56"/>
      <c r="O1" s="56"/>
      <c r="P1" s="56"/>
      <c r="Q1" s="56"/>
    </row>
    <row r="2" spans="1:17">
      <c r="A2" s="56"/>
      <c r="B2" s="56"/>
      <c r="C2" s="56"/>
      <c r="D2" s="56"/>
      <c r="E2" s="56"/>
      <c r="F2" s="56"/>
      <c r="G2" s="56"/>
      <c r="H2" s="56"/>
      <c r="I2" s="56"/>
      <c r="J2" s="56"/>
      <c r="K2" s="56"/>
      <c r="L2" s="56"/>
      <c r="M2" s="56"/>
      <c r="N2" s="56"/>
      <c r="O2" s="56"/>
      <c r="P2" s="56"/>
      <c r="Q2" s="56"/>
    </row>
    <row r="3" spans="1:17">
      <c r="A3" s="56"/>
      <c r="B3" s="56"/>
      <c r="C3" s="56"/>
      <c r="D3" s="56"/>
      <c r="E3" s="56"/>
      <c r="F3" s="56"/>
      <c r="G3" s="56"/>
      <c r="H3" s="56"/>
      <c r="I3" s="56"/>
      <c r="J3" s="56"/>
      <c r="K3" s="56"/>
      <c r="L3" s="56"/>
      <c r="M3" s="56"/>
      <c r="N3" s="56"/>
      <c r="O3" s="56"/>
      <c r="P3" s="56"/>
      <c r="Q3" s="56"/>
    </row>
    <row r="4" spans="1:17" ht="36.75" customHeight="1" thickBot="1">
      <c r="A4" s="56"/>
      <c r="B4" s="56"/>
      <c r="C4" s="116" t="s">
        <v>22</v>
      </c>
      <c r="D4" s="116"/>
      <c r="E4" s="116"/>
      <c r="F4" s="116"/>
      <c r="G4" s="116"/>
      <c r="H4" s="116"/>
      <c r="I4" s="116"/>
      <c r="J4" s="56"/>
      <c r="K4" s="56"/>
      <c r="L4" s="56"/>
      <c r="M4" s="56"/>
      <c r="N4" s="56"/>
      <c r="O4" s="56"/>
      <c r="P4" s="56"/>
      <c r="Q4" s="56"/>
    </row>
    <row r="5" spans="1:17" ht="14" thickBot="1">
      <c r="A5" s="56"/>
      <c r="B5" s="56"/>
      <c r="C5" s="117" t="s">
        <v>23</v>
      </c>
      <c r="D5" s="118"/>
      <c r="E5" s="119" t="s">
        <v>24</v>
      </c>
      <c r="F5" s="119"/>
      <c r="G5" s="119"/>
      <c r="H5" s="119"/>
      <c r="I5" s="120"/>
      <c r="J5" s="56"/>
      <c r="K5" s="56"/>
      <c r="L5" s="56"/>
      <c r="M5" s="56"/>
      <c r="N5" s="56"/>
      <c r="O5" s="56"/>
      <c r="P5" s="56"/>
      <c r="Q5" s="56"/>
    </row>
    <row r="6" spans="1:17">
      <c r="A6" s="56"/>
      <c r="B6" s="56"/>
      <c r="C6" s="56"/>
      <c r="D6" s="56"/>
      <c r="E6" s="56"/>
      <c r="F6" s="56"/>
      <c r="G6" s="56"/>
      <c r="H6" s="56"/>
      <c r="I6" s="56"/>
      <c r="J6" s="56"/>
      <c r="K6" s="56"/>
      <c r="L6" s="56"/>
      <c r="M6" s="56"/>
      <c r="N6" s="56"/>
      <c r="O6" s="56"/>
      <c r="P6" s="56"/>
      <c r="Q6" s="56"/>
    </row>
    <row r="7" spans="1:17">
      <c r="A7" s="56"/>
      <c r="B7" s="56"/>
      <c r="C7" s="56"/>
      <c r="D7" s="56"/>
      <c r="E7" s="56"/>
      <c r="F7" s="56"/>
      <c r="G7" s="56"/>
      <c r="H7" s="56"/>
      <c r="I7" s="56"/>
      <c r="J7" s="56"/>
      <c r="K7" s="56"/>
      <c r="L7" s="56"/>
      <c r="M7" s="56"/>
      <c r="N7" s="56"/>
      <c r="O7" s="56"/>
      <c r="P7" s="56"/>
      <c r="Q7" s="56"/>
    </row>
    <row r="8" spans="1:17">
      <c r="A8" s="56"/>
      <c r="B8" s="56"/>
      <c r="C8" s="56"/>
      <c r="D8" s="56"/>
      <c r="E8" s="56"/>
      <c r="F8" s="56"/>
      <c r="G8" s="56"/>
      <c r="H8" s="56"/>
      <c r="I8" s="56"/>
      <c r="J8" s="56"/>
      <c r="K8" s="56"/>
      <c r="L8" s="56"/>
      <c r="M8" s="56"/>
      <c r="N8" s="56"/>
      <c r="O8" s="56"/>
      <c r="P8" s="56"/>
      <c r="Q8" s="56"/>
    </row>
    <row r="9" spans="1:17">
      <c r="A9" s="56"/>
      <c r="B9" s="56"/>
      <c r="C9" s="56"/>
      <c r="D9" s="56"/>
      <c r="E9" s="56"/>
      <c r="F9" s="56"/>
      <c r="G9" s="56"/>
      <c r="H9" s="56"/>
      <c r="I9" s="56"/>
      <c r="J9" s="56"/>
      <c r="K9" s="56"/>
      <c r="L9" s="56"/>
      <c r="M9" s="56"/>
      <c r="N9" s="56"/>
      <c r="O9" s="56"/>
      <c r="P9" s="56"/>
      <c r="Q9" s="56"/>
    </row>
    <row r="10" spans="1:17">
      <c r="A10" s="56"/>
      <c r="B10" s="56"/>
      <c r="C10" s="56"/>
      <c r="D10" s="56"/>
      <c r="E10" s="56"/>
      <c r="F10" s="56"/>
      <c r="G10" s="56"/>
      <c r="H10" s="56"/>
      <c r="I10" s="56"/>
      <c r="J10" s="56"/>
      <c r="K10" s="56"/>
      <c r="L10" s="56"/>
      <c r="M10" s="56"/>
      <c r="N10" s="56"/>
      <c r="O10" s="56"/>
      <c r="P10" s="56"/>
      <c r="Q10" s="56"/>
    </row>
    <row r="11" spans="1:17">
      <c r="A11" s="56"/>
      <c r="B11" s="56"/>
      <c r="C11" s="56"/>
      <c r="D11" s="56"/>
      <c r="E11" s="56"/>
      <c r="F11" s="56"/>
      <c r="G11" s="56"/>
      <c r="H11" s="56"/>
      <c r="I11" s="56"/>
      <c r="J11" s="56"/>
      <c r="K11" s="56"/>
      <c r="L11" s="56"/>
      <c r="M11" s="56"/>
      <c r="N11" s="56"/>
      <c r="O11" s="56"/>
      <c r="P11" s="56"/>
      <c r="Q11" s="56"/>
    </row>
    <row r="12" spans="1:17">
      <c r="A12" s="56"/>
      <c r="B12" s="56"/>
      <c r="C12" s="56"/>
      <c r="D12" s="56"/>
      <c r="E12" s="56"/>
      <c r="F12" s="56"/>
      <c r="G12" s="56"/>
      <c r="H12" s="56"/>
      <c r="I12" s="56"/>
      <c r="J12" s="56"/>
      <c r="K12" s="56"/>
      <c r="L12" s="56"/>
      <c r="M12" s="56"/>
      <c r="N12" s="56"/>
      <c r="O12" s="56"/>
      <c r="P12" s="56"/>
      <c r="Q12" s="56"/>
    </row>
    <row r="13" spans="1:17">
      <c r="A13" s="56"/>
      <c r="B13" s="56"/>
      <c r="C13" s="56"/>
      <c r="D13" s="56"/>
      <c r="E13" s="56"/>
      <c r="F13" s="56"/>
      <c r="G13" s="56"/>
      <c r="H13" s="56"/>
      <c r="I13" s="56"/>
      <c r="J13" s="56"/>
      <c r="K13" s="56"/>
      <c r="L13" s="56"/>
      <c r="M13" s="56"/>
      <c r="N13" s="56"/>
      <c r="O13" s="56"/>
      <c r="P13" s="56"/>
      <c r="Q13" s="56"/>
    </row>
    <row r="14" spans="1:17">
      <c r="A14" s="56"/>
      <c r="B14" s="56"/>
      <c r="C14" s="56"/>
      <c r="D14" s="56"/>
      <c r="E14" s="56"/>
      <c r="F14" s="56"/>
      <c r="G14" s="56"/>
      <c r="H14" s="56"/>
      <c r="I14" s="56"/>
      <c r="J14" s="56"/>
      <c r="K14" s="56"/>
      <c r="L14" s="56"/>
      <c r="M14" s="56"/>
      <c r="N14" s="56"/>
      <c r="O14" s="56"/>
      <c r="P14" s="56"/>
      <c r="Q14" s="56"/>
    </row>
    <row r="15" spans="1:17" ht="13">
      <c r="A15" s="56"/>
      <c r="B15" s="56"/>
      <c r="C15" s="57" t="s">
        <v>15</v>
      </c>
      <c r="D15" s="56"/>
      <c r="E15" s="56"/>
      <c r="F15" s="56"/>
      <c r="G15" s="56"/>
      <c r="H15" s="56"/>
      <c r="I15" s="56"/>
      <c r="J15" s="56"/>
      <c r="K15" s="56"/>
      <c r="L15" s="56"/>
      <c r="M15" s="56"/>
      <c r="N15" s="56"/>
      <c r="O15" s="56"/>
      <c r="P15" s="56"/>
      <c r="Q15" s="56"/>
    </row>
    <row r="16" spans="1:17">
      <c r="A16" s="56"/>
      <c r="B16" s="56"/>
      <c r="C16" s="56" t="s">
        <v>25</v>
      </c>
      <c r="D16" s="56"/>
      <c r="E16" s="56"/>
      <c r="F16" s="56"/>
      <c r="G16" s="56"/>
      <c r="H16" s="56"/>
      <c r="I16" s="56"/>
      <c r="J16" s="56"/>
      <c r="K16" s="56"/>
      <c r="L16" s="56"/>
      <c r="M16" s="56"/>
      <c r="N16" s="56"/>
      <c r="O16" s="56"/>
      <c r="P16" s="56"/>
      <c r="Q16" s="56"/>
    </row>
    <row r="17" spans="1:17">
      <c r="A17" s="56"/>
      <c r="B17" s="56"/>
      <c r="C17" s="56" t="s">
        <v>26</v>
      </c>
      <c r="D17" s="56"/>
      <c r="E17" s="56"/>
      <c r="F17" s="56"/>
      <c r="G17" s="56"/>
      <c r="H17" s="56"/>
      <c r="I17" s="56"/>
      <c r="J17" s="56"/>
      <c r="K17" s="56"/>
      <c r="L17" s="56"/>
      <c r="M17" s="56"/>
      <c r="N17" s="56"/>
      <c r="O17" s="56"/>
      <c r="P17" s="56"/>
      <c r="Q17" s="56"/>
    </row>
    <row r="18" spans="1:17">
      <c r="A18" s="56"/>
      <c r="B18" s="56"/>
      <c r="C18" s="56" t="s">
        <v>27</v>
      </c>
      <c r="D18" s="56"/>
      <c r="E18" s="56"/>
      <c r="F18" s="56"/>
      <c r="G18" s="56"/>
      <c r="H18" s="56"/>
      <c r="I18" s="56"/>
      <c r="J18" s="56"/>
      <c r="K18" s="56"/>
      <c r="L18" s="56"/>
      <c r="M18" s="56"/>
      <c r="N18" s="56"/>
      <c r="O18" s="56"/>
      <c r="P18" s="56"/>
      <c r="Q18" s="56"/>
    </row>
    <row r="19" spans="1:17">
      <c r="A19" s="56"/>
      <c r="B19" s="56"/>
      <c r="C19" s="56" t="s">
        <v>28</v>
      </c>
      <c r="D19" s="56"/>
      <c r="E19" s="56"/>
      <c r="F19" s="56"/>
      <c r="G19" s="56"/>
      <c r="H19" s="56"/>
      <c r="I19" s="56"/>
      <c r="J19" s="56"/>
      <c r="K19" s="56"/>
      <c r="L19" s="56"/>
      <c r="M19" s="56"/>
      <c r="N19" s="56"/>
      <c r="O19" s="56"/>
      <c r="P19" s="56"/>
      <c r="Q19" s="56"/>
    </row>
    <row r="20" spans="1:17">
      <c r="A20" s="56"/>
      <c r="B20" s="56"/>
      <c r="C20" s="56"/>
      <c r="D20" s="56"/>
      <c r="E20" s="56"/>
      <c r="F20" s="56"/>
      <c r="G20" s="56"/>
      <c r="H20" s="56"/>
      <c r="I20" s="56"/>
      <c r="J20" s="56"/>
      <c r="K20" s="56"/>
      <c r="L20" s="56"/>
      <c r="M20" s="56"/>
      <c r="N20" s="56"/>
      <c r="O20" s="56"/>
      <c r="P20" s="56"/>
      <c r="Q20" s="56"/>
    </row>
    <row r="21" spans="1:17" ht="13">
      <c r="A21" s="56"/>
      <c r="B21" s="56"/>
      <c r="C21" s="57" t="s">
        <v>29</v>
      </c>
      <c r="D21" s="56"/>
      <c r="E21" s="56"/>
      <c r="F21" s="56"/>
      <c r="G21" s="56"/>
      <c r="H21" s="56"/>
      <c r="I21" s="56"/>
      <c r="J21" s="56"/>
      <c r="K21" s="56"/>
      <c r="L21" s="56"/>
      <c r="M21" s="56"/>
      <c r="N21" s="56"/>
      <c r="O21" s="56"/>
      <c r="P21" s="56"/>
      <c r="Q21" s="56"/>
    </row>
    <row r="22" spans="1:17">
      <c r="A22" s="56"/>
      <c r="B22" s="56"/>
      <c r="C22" s="56" t="s">
        <v>30</v>
      </c>
      <c r="D22" s="56"/>
      <c r="E22" s="56"/>
      <c r="F22" s="56"/>
      <c r="G22" s="56"/>
      <c r="H22" s="56"/>
      <c r="I22" s="56"/>
      <c r="J22" s="56"/>
      <c r="K22" s="56"/>
      <c r="L22" s="56"/>
      <c r="M22" s="56"/>
      <c r="N22" s="56"/>
      <c r="O22" s="56"/>
      <c r="P22" s="56"/>
      <c r="Q22" s="56"/>
    </row>
    <row r="23" spans="1:17">
      <c r="A23" s="56"/>
      <c r="B23" s="56"/>
      <c r="C23" s="56"/>
      <c r="D23" s="56"/>
      <c r="E23" s="56"/>
      <c r="F23" s="56"/>
      <c r="G23" s="56"/>
      <c r="H23" s="56"/>
      <c r="I23" s="56"/>
      <c r="J23" s="56"/>
      <c r="K23" s="56"/>
      <c r="L23" s="56"/>
      <c r="M23" s="56"/>
      <c r="N23" s="56"/>
      <c r="O23" s="56"/>
      <c r="P23" s="56"/>
      <c r="Q23" s="56"/>
    </row>
    <row r="24" spans="1:17">
      <c r="A24" s="56"/>
      <c r="B24" s="56"/>
      <c r="C24" s="56" t="s">
        <v>31</v>
      </c>
      <c r="D24" s="56"/>
      <c r="E24" s="56"/>
      <c r="F24" s="56"/>
      <c r="G24" s="56"/>
      <c r="H24" s="56"/>
      <c r="I24" s="56"/>
      <c r="J24" s="56"/>
      <c r="K24" s="56"/>
      <c r="L24" s="56"/>
      <c r="M24" s="56"/>
      <c r="N24" s="56"/>
      <c r="O24" s="56"/>
      <c r="P24" s="56"/>
      <c r="Q24" s="56"/>
    </row>
    <row r="25" spans="1:17">
      <c r="A25" s="56"/>
      <c r="B25" s="56"/>
      <c r="C25" s="56" t="s">
        <v>32</v>
      </c>
      <c r="D25" s="56"/>
      <c r="E25" s="56"/>
      <c r="F25" s="56"/>
      <c r="G25" s="56"/>
      <c r="H25" s="56"/>
      <c r="I25" s="56"/>
      <c r="J25" s="56"/>
      <c r="K25" s="56"/>
      <c r="L25" s="56"/>
      <c r="M25" s="56"/>
      <c r="N25" s="56"/>
      <c r="O25" s="56"/>
      <c r="P25" s="56"/>
      <c r="Q25" s="56"/>
    </row>
    <row r="26" spans="1:17">
      <c r="A26" s="56"/>
      <c r="B26" s="56"/>
      <c r="C26" s="56" t="s">
        <v>33</v>
      </c>
      <c r="D26" s="56"/>
      <c r="E26" s="56"/>
      <c r="F26" s="56"/>
      <c r="G26" s="56"/>
      <c r="H26" s="56"/>
      <c r="I26" s="56"/>
      <c r="J26" s="56"/>
      <c r="K26" s="56"/>
      <c r="L26" s="56"/>
      <c r="M26" s="56"/>
      <c r="N26" s="56"/>
      <c r="O26" s="56"/>
      <c r="P26" s="56"/>
      <c r="Q26" s="56"/>
    </row>
    <row r="27" spans="1:17">
      <c r="A27" s="56"/>
      <c r="B27" s="56"/>
      <c r="C27" s="56" t="s">
        <v>34</v>
      </c>
      <c r="D27" s="56"/>
      <c r="E27" s="56"/>
      <c r="F27" s="56"/>
      <c r="G27" s="56"/>
      <c r="H27" s="56"/>
      <c r="I27" s="56"/>
      <c r="J27" s="56"/>
      <c r="K27" s="56"/>
      <c r="L27" s="56"/>
      <c r="M27" s="56"/>
      <c r="N27" s="56"/>
      <c r="O27" s="56"/>
      <c r="P27" s="56"/>
      <c r="Q27" s="56"/>
    </row>
    <row r="28" spans="1:17">
      <c r="A28" s="56"/>
      <c r="B28" s="56"/>
      <c r="C28" s="56"/>
      <c r="D28" s="56"/>
      <c r="E28" s="56"/>
      <c r="F28" s="56"/>
      <c r="G28" s="56"/>
      <c r="H28" s="56"/>
      <c r="I28" s="56"/>
      <c r="J28" s="56"/>
      <c r="K28" s="56"/>
      <c r="L28" s="56"/>
      <c r="M28" s="56"/>
      <c r="N28" s="56"/>
      <c r="O28" s="56"/>
      <c r="P28" s="56"/>
      <c r="Q28" s="56"/>
    </row>
    <row r="29" spans="1:17">
      <c r="A29" s="56"/>
      <c r="B29" s="56"/>
      <c r="C29" s="35"/>
      <c r="D29" s="56"/>
      <c r="E29" s="56"/>
      <c r="F29" s="56"/>
      <c r="G29" s="56"/>
      <c r="H29" s="56"/>
      <c r="I29" s="56"/>
      <c r="J29" s="56"/>
      <c r="K29" s="56"/>
      <c r="L29" s="56"/>
      <c r="M29" s="56"/>
      <c r="N29" s="56"/>
      <c r="O29" s="56"/>
      <c r="P29" s="56"/>
      <c r="Q29" s="56"/>
    </row>
    <row r="30" spans="1:17">
      <c r="A30" s="56"/>
      <c r="B30" s="56"/>
      <c r="C30" s="99"/>
      <c r="D30" s="56"/>
      <c r="E30" s="56"/>
      <c r="F30" s="56"/>
      <c r="G30" s="56"/>
      <c r="H30" s="56"/>
      <c r="I30" s="56"/>
      <c r="J30" s="56"/>
      <c r="K30" s="56"/>
      <c r="L30" s="56"/>
      <c r="M30" s="56"/>
      <c r="N30" s="56"/>
      <c r="O30" s="56"/>
      <c r="P30" s="56"/>
      <c r="Q30" s="56"/>
    </row>
    <row r="31" spans="1:17">
      <c r="A31" s="56"/>
      <c r="B31" s="56"/>
      <c r="C31" s="56"/>
      <c r="D31" s="56"/>
      <c r="E31" s="56"/>
      <c r="F31" s="56"/>
      <c r="G31" s="56"/>
      <c r="H31" s="56"/>
      <c r="I31" s="56"/>
      <c r="J31" s="56"/>
      <c r="K31" s="56"/>
      <c r="L31" s="56"/>
      <c r="M31" s="56"/>
      <c r="N31" s="56"/>
      <c r="O31" s="56"/>
      <c r="P31" s="56"/>
      <c r="Q31" s="56"/>
    </row>
    <row r="32" spans="1:17">
      <c r="A32" s="56"/>
      <c r="B32" s="56"/>
      <c r="C32" s="56"/>
      <c r="D32" s="56"/>
      <c r="E32" s="56"/>
      <c r="F32" s="56"/>
      <c r="G32" s="56"/>
      <c r="H32" s="56"/>
      <c r="I32" s="56"/>
      <c r="J32" s="56"/>
      <c r="K32" s="56"/>
      <c r="L32" s="56"/>
      <c r="M32" s="56"/>
      <c r="N32" s="56"/>
      <c r="O32" s="56"/>
      <c r="P32" s="56"/>
      <c r="Q32" s="56"/>
    </row>
    <row r="33" spans="1:17">
      <c r="A33" s="56"/>
      <c r="B33" s="56"/>
      <c r="C33" s="56"/>
      <c r="D33" s="56"/>
      <c r="E33" s="56"/>
      <c r="F33" s="56"/>
      <c r="G33" s="56"/>
      <c r="H33" s="56"/>
      <c r="I33" s="56"/>
      <c r="J33" s="56"/>
      <c r="K33" s="56"/>
      <c r="L33" s="56"/>
      <c r="M33" s="56"/>
      <c r="N33" s="56"/>
      <c r="O33" s="56"/>
      <c r="P33" s="56"/>
      <c r="Q33" s="56"/>
    </row>
    <row r="34" spans="1:17">
      <c r="A34" s="56"/>
      <c r="B34" s="56"/>
      <c r="C34" s="56"/>
      <c r="D34" s="56"/>
      <c r="E34" s="56"/>
      <c r="F34" s="56"/>
      <c r="G34" s="56"/>
      <c r="H34" s="56"/>
      <c r="I34" s="56"/>
      <c r="J34" s="56"/>
      <c r="K34" s="56"/>
      <c r="L34" s="56"/>
      <c r="M34" s="56"/>
      <c r="N34" s="56"/>
      <c r="O34" s="56"/>
      <c r="P34" s="56"/>
      <c r="Q34" s="56"/>
    </row>
    <row r="35" spans="1:17">
      <c r="A35" s="56"/>
      <c r="B35" s="56"/>
      <c r="C35" s="56"/>
      <c r="D35" s="56"/>
      <c r="E35" s="56"/>
      <c r="F35" s="56"/>
      <c r="G35" s="56"/>
      <c r="H35" s="56"/>
      <c r="I35" s="56"/>
      <c r="J35" s="56"/>
      <c r="K35" s="56"/>
      <c r="L35" s="56"/>
      <c r="M35" s="56"/>
      <c r="N35" s="56"/>
      <c r="O35" s="56"/>
      <c r="P35" s="56"/>
      <c r="Q35" s="56"/>
    </row>
    <row r="36" spans="1:17">
      <c r="A36" s="56"/>
      <c r="B36" s="56"/>
      <c r="C36" s="56"/>
      <c r="D36" s="56"/>
      <c r="E36" s="56"/>
      <c r="F36" s="56"/>
      <c r="G36" s="56"/>
      <c r="H36" s="56"/>
      <c r="I36" s="56"/>
      <c r="J36" s="56"/>
      <c r="K36" s="56"/>
      <c r="L36" s="56"/>
      <c r="M36" s="56"/>
      <c r="N36" s="56"/>
      <c r="O36" s="56"/>
      <c r="P36" s="56"/>
      <c r="Q36" s="56"/>
    </row>
    <row r="37" spans="1:17">
      <c r="A37" s="56"/>
      <c r="B37" s="56"/>
      <c r="C37" s="56"/>
      <c r="D37" s="56"/>
      <c r="E37" s="56"/>
      <c r="F37" s="56"/>
      <c r="G37" s="56"/>
      <c r="H37" s="56"/>
      <c r="I37" s="56"/>
      <c r="J37" s="56"/>
      <c r="K37" s="56"/>
      <c r="L37" s="56"/>
      <c r="M37" s="56"/>
      <c r="N37" s="56"/>
      <c r="O37" s="56"/>
      <c r="P37" s="56"/>
      <c r="Q37" s="56"/>
    </row>
    <row r="38" spans="1:17">
      <c r="A38" s="56"/>
      <c r="B38" s="56"/>
      <c r="C38" s="56"/>
      <c r="D38" s="56"/>
      <c r="E38" s="56"/>
      <c r="F38" s="56"/>
      <c r="G38" s="56"/>
      <c r="H38" s="56"/>
      <c r="I38" s="56"/>
      <c r="J38" s="56"/>
      <c r="K38" s="56"/>
      <c r="L38" s="56"/>
      <c r="M38" s="56"/>
      <c r="N38" s="56"/>
      <c r="O38" s="56"/>
      <c r="P38" s="56"/>
      <c r="Q38" s="56"/>
    </row>
    <row r="39" spans="1:17">
      <c r="A39" s="56"/>
      <c r="B39" s="56"/>
      <c r="C39" s="56"/>
      <c r="D39" s="56"/>
      <c r="E39" s="56"/>
      <c r="F39" s="56"/>
      <c r="G39" s="56"/>
      <c r="H39" s="56"/>
      <c r="I39" s="56"/>
      <c r="J39" s="56"/>
      <c r="K39" s="56"/>
      <c r="L39" s="56"/>
      <c r="M39" s="56"/>
      <c r="N39" s="56"/>
      <c r="O39" s="56"/>
      <c r="P39" s="56"/>
      <c r="Q39" s="56"/>
    </row>
    <row r="40" spans="1:17">
      <c r="A40" s="56"/>
      <c r="B40" s="56"/>
      <c r="C40" s="56"/>
      <c r="D40" s="56"/>
      <c r="E40" s="56"/>
      <c r="F40" s="56"/>
      <c r="G40" s="56"/>
      <c r="H40" s="56"/>
      <c r="I40" s="56"/>
      <c r="J40" s="56"/>
      <c r="K40" s="56"/>
      <c r="L40" s="56"/>
      <c r="M40" s="56"/>
      <c r="N40" s="56"/>
      <c r="O40" s="56"/>
      <c r="P40" s="56"/>
      <c r="Q40" s="56"/>
    </row>
    <row r="41" spans="1:17">
      <c r="A41" s="56"/>
      <c r="B41" s="56"/>
      <c r="C41" s="56"/>
      <c r="D41" s="56"/>
      <c r="E41" s="56"/>
      <c r="F41" s="56"/>
      <c r="G41" s="56"/>
      <c r="H41" s="56"/>
      <c r="I41" s="56"/>
      <c r="J41" s="56"/>
      <c r="K41" s="56"/>
      <c r="L41" s="56"/>
      <c r="M41" s="56"/>
      <c r="N41" s="56"/>
      <c r="O41" s="56"/>
      <c r="P41" s="56"/>
      <c r="Q41" s="56"/>
    </row>
    <row r="42" spans="1:17">
      <c r="A42" s="56"/>
      <c r="B42" s="56"/>
      <c r="C42" s="56"/>
      <c r="D42" s="56"/>
      <c r="E42" s="56"/>
      <c r="F42" s="56"/>
      <c r="G42" s="56"/>
      <c r="H42" s="56"/>
      <c r="I42" s="56"/>
      <c r="J42" s="56"/>
      <c r="K42" s="56"/>
      <c r="L42" s="56"/>
      <c r="M42" s="56"/>
      <c r="N42" s="56"/>
      <c r="O42" s="56"/>
      <c r="P42" s="56"/>
      <c r="Q42" s="56"/>
    </row>
    <row r="43" spans="1:17">
      <c r="A43" s="56"/>
      <c r="B43" s="56"/>
      <c r="C43" s="56"/>
      <c r="D43" s="56"/>
      <c r="E43" s="56"/>
      <c r="F43" s="56"/>
      <c r="G43" s="56"/>
      <c r="H43" s="56"/>
      <c r="I43" s="56"/>
      <c r="J43" s="56"/>
      <c r="K43" s="56"/>
      <c r="L43" s="56"/>
      <c r="M43" s="56"/>
      <c r="N43" s="56"/>
      <c r="O43" s="56"/>
      <c r="P43" s="56"/>
      <c r="Q43" s="56"/>
    </row>
    <row r="44" spans="1:17">
      <c r="A44" s="56"/>
      <c r="B44" s="56"/>
      <c r="C44" s="56"/>
      <c r="D44" s="56"/>
      <c r="E44" s="56"/>
      <c r="F44" s="56"/>
      <c r="G44" s="56"/>
      <c r="H44" s="56"/>
      <c r="I44" s="56"/>
      <c r="J44" s="56"/>
      <c r="K44" s="56"/>
      <c r="L44" s="56"/>
      <c r="M44" s="56"/>
      <c r="N44" s="56"/>
      <c r="O44" s="56"/>
      <c r="P44" s="56"/>
      <c r="Q44" s="56"/>
    </row>
    <row r="45" spans="1:17">
      <c r="A45" s="56"/>
      <c r="B45" s="56"/>
      <c r="C45" s="56"/>
      <c r="D45" s="56"/>
      <c r="E45" s="56"/>
      <c r="F45" s="56"/>
      <c r="G45" s="56"/>
      <c r="H45" s="56"/>
      <c r="I45" s="56"/>
      <c r="J45" s="56"/>
      <c r="K45" s="56"/>
      <c r="L45" s="56"/>
      <c r="M45" s="56"/>
      <c r="N45" s="56"/>
      <c r="O45" s="56"/>
      <c r="P45" s="56"/>
      <c r="Q45" s="56"/>
    </row>
    <row r="46" spans="1:17">
      <c r="A46" s="56"/>
      <c r="B46" s="56"/>
      <c r="C46" s="56"/>
      <c r="D46" s="56"/>
      <c r="E46" s="56"/>
      <c r="F46" s="56"/>
      <c r="G46" s="56"/>
      <c r="H46" s="56"/>
      <c r="I46" s="56"/>
      <c r="J46" s="56"/>
      <c r="K46" s="56"/>
      <c r="L46" s="56"/>
      <c r="M46" s="56"/>
      <c r="N46" s="56"/>
      <c r="O46" s="56"/>
      <c r="P46" s="56"/>
      <c r="Q46" s="56"/>
    </row>
    <row r="47" spans="1:17">
      <c r="A47" s="56"/>
      <c r="B47" s="56"/>
      <c r="C47" s="56"/>
      <c r="D47" s="56"/>
      <c r="E47" s="56"/>
      <c r="F47" s="56"/>
      <c r="G47" s="56"/>
      <c r="H47" s="56"/>
      <c r="I47" s="56"/>
      <c r="J47" s="56"/>
      <c r="K47" s="56"/>
      <c r="L47" s="56"/>
      <c r="M47" s="56"/>
      <c r="N47" s="56"/>
      <c r="O47" s="56"/>
      <c r="P47" s="56"/>
      <c r="Q47" s="56"/>
    </row>
    <row r="48" spans="1:17">
      <c r="A48" s="56"/>
      <c r="B48" s="56"/>
      <c r="C48" s="56"/>
      <c r="D48" s="56"/>
      <c r="E48" s="56"/>
      <c r="F48" s="56"/>
      <c r="G48" s="56"/>
      <c r="H48" s="56"/>
      <c r="I48" s="56"/>
      <c r="J48" s="56"/>
      <c r="K48" s="56"/>
      <c r="L48" s="56"/>
      <c r="M48" s="56"/>
      <c r="N48" s="56"/>
      <c r="O48" s="56"/>
      <c r="P48" s="56"/>
      <c r="Q48" s="56"/>
    </row>
    <row r="49" spans="1:17">
      <c r="A49" s="56"/>
      <c r="B49" s="56"/>
      <c r="C49" s="56"/>
      <c r="D49" s="56"/>
      <c r="E49" s="56"/>
      <c r="F49" s="56"/>
      <c r="G49" s="56"/>
      <c r="H49" s="56"/>
      <c r="I49" s="56"/>
      <c r="J49" s="56"/>
      <c r="K49" s="56"/>
      <c r="L49" s="56"/>
      <c r="M49" s="56"/>
      <c r="N49" s="56"/>
      <c r="O49" s="56"/>
      <c r="P49" s="56"/>
      <c r="Q49" s="56"/>
    </row>
    <row r="50" spans="1:17">
      <c r="A50" s="56"/>
      <c r="B50" s="56"/>
      <c r="C50" s="56"/>
      <c r="D50" s="56"/>
      <c r="E50" s="56"/>
      <c r="F50" s="56"/>
      <c r="G50" s="56"/>
      <c r="H50" s="56"/>
      <c r="I50" s="56"/>
      <c r="J50" s="56"/>
      <c r="K50" s="56"/>
      <c r="L50" s="56"/>
      <c r="M50" s="56"/>
      <c r="N50" s="56"/>
      <c r="O50" s="56"/>
      <c r="P50" s="56"/>
      <c r="Q50" s="56"/>
    </row>
    <row r="51" spans="1:17">
      <c r="A51" s="56"/>
      <c r="B51" s="56"/>
      <c r="C51" s="56"/>
      <c r="D51" s="56"/>
      <c r="E51" s="56"/>
      <c r="F51" s="56"/>
      <c r="G51" s="56"/>
      <c r="H51" s="56"/>
      <c r="I51" s="56"/>
      <c r="J51" s="56"/>
      <c r="K51" s="56"/>
      <c r="L51" s="56"/>
      <c r="M51" s="56"/>
      <c r="N51" s="56"/>
      <c r="O51" s="56"/>
      <c r="P51" s="56"/>
      <c r="Q51" s="56"/>
    </row>
    <row r="52" spans="1:17">
      <c r="A52" s="56"/>
      <c r="B52" s="56"/>
      <c r="C52" s="56"/>
      <c r="D52" s="56"/>
      <c r="E52" s="56"/>
      <c r="F52" s="56"/>
      <c r="G52" s="56"/>
      <c r="H52" s="56"/>
      <c r="I52" s="56"/>
      <c r="J52" s="56"/>
      <c r="K52" s="56"/>
      <c r="L52" s="56"/>
      <c r="M52" s="56"/>
      <c r="N52" s="56"/>
      <c r="O52" s="56"/>
      <c r="P52" s="56"/>
      <c r="Q52" s="56"/>
    </row>
    <row r="53" spans="1:17">
      <c r="A53" s="56"/>
      <c r="B53" s="56"/>
      <c r="C53" s="56"/>
      <c r="D53" s="56"/>
      <c r="E53" s="56"/>
      <c r="F53" s="56"/>
      <c r="G53" s="56"/>
      <c r="H53" s="56"/>
      <c r="I53" s="56"/>
      <c r="J53" s="56"/>
      <c r="K53" s="56"/>
      <c r="L53" s="56"/>
      <c r="M53" s="56"/>
      <c r="N53" s="56"/>
      <c r="O53" s="56"/>
      <c r="P53" s="56"/>
      <c r="Q53" s="56"/>
    </row>
    <row r="54" spans="1:17">
      <c r="A54" s="56"/>
      <c r="B54" s="56"/>
      <c r="C54" s="56"/>
      <c r="D54" s="56"/>
      <c r="E54" s="56"/>
      <c r="F54" s="56"/>
      <c r="G54" s="56"/>
      <c r="H54" s="56"/>
      <c r="I54" s="56"/>
      <c r="J54" s="56"/>
      <c r="K54" s="56"/>
      <c r="L54" s="56"/>
      <c r="M54" s="56"/>
      <c r="N54" s="56"/>
      <c r="O54" s="56"/>
      <c r="P54" s="56"/>
      <c r="Q54" s="56"/>
    </row>
    <row r="55" spans="1:17">
      <c r="A55" s="56"/>
      <c r="B55" s="56"/>
      <c r="C55" s="56"/>
      <c r="D55" s="56"/>
      <c r="E55" s="56"/>
      <c r="F55" s="56"/>
      <c r="G55" s="56"/>
      <c r="H55" s="56"/>
      <c r="I55" s="56"/>
      <c r="J55" s="56"/>
      <c r="K55" s="56"/>
      <c r="L55" s="56"/>
      <c r="M55" s="56"/>
      <c r="N55" s="56"/>
      <c r="O55" s="56"/>
      <c r="P55" s="56"/>
      <c r="Q55" s="56"/>
    </row>
    <row r="56" spans="1:17">
      <c r="A56" s="56"/>
      <c r="B56" s="56"/>
      <c r="C56" s="56"/>
      <c r="D56" s="56"/>
      <c r="E56" s="56"/>
      <c r="F56" s="56"/>
      <c r="G56" s="56"/>
      <c r="H56" s="56"/>
      <c r="I56" s="56"/>
      <c r="J56" s="56"/>
      <c r="K56" s="56"/>
      <c r="L56" s="56"/>
      <c r="M56" s="56"/>
      <c r="N56" s="56"/>
      <c r="O56" s="56"/>
      <c r="P56" s="56"/>
      <c r="Q56" s="56"/>
    </row>
    <row r="57" spans="1:17">
      <c r="A57" s="56"/>
      <c r="B57" s="56"/>
      <c r="C57" s="56"/>
      <c r="D57" s="56"/>
      <c r="E57" s="56"/>
      <c r="F57" s="56"/>
      <c r="G57" s="56"/>
      <c r="H57" s="56"/>
      <c r="I57" s="56"/>
      <c r="J57" s="56"/>
      <c r="K57" s="56"/>
      <c r="L57" s="56"/>
      <c r="M57" s="56"/>
      <c r="N57" s="56"/>
      <c r="O57" s="56"/>
      <c r="P57" s="56"/>
      <c r="Q57" s="56"/>
    </row>
    <row r="58" spans="1:17">
      <c r="A58" s="56"/>
      <c r="B58" s="56"/>
      <c r="C58" s="56"/>
      <c r="D58" s="56"/>
      <c r="E58" s="56"/>
      <c r="F58" s="56"/>
      <c r="G58" s="56"/>
      <c r="H58" s="56"/>
      <c r="I58" s="56"/>
      <c r="J58" s="56"/>
      <c r="K58" s="56"/>
      <c r="L58" s="56"/>
      <c r="M58" s="56"/>
      <c r="N58" s="56"/>
      <c r="O58" s="56"/>
      <c r="P58" s="56"/>
      <c r="Q58" s="56"/>
    </row>
    <row r="59" spans="1:17">
      <c r="A59" s="56"/>
      <c r="B59" s="56"/>
      <c r="C59" s="56"/>
      <c r="D59" s="56"/>
      <c r="E59" s="56"/>
      <c r="F59" s="56"/>
      <c r="G59" s="56"/>
      <c r="H59" s="56"/>
      <c r="I59" s="56"/>
      <c r="J59" s="56"/>
      <c r="K59" s="56"/>
      <c r="L59" s="56"/>
      <c r="M59" s="56"/>
      <c r="N59" s="56"/>
      <c r="O59" s="56"/>
      <c r="P59" s="56"/>
      <c r="Q59" s="56"/>
    </row>
    <row r="60" spans="1:17">
      <c r="A60" s="56"/>
      <c r="B60" s="56"/>
      <c r="C60" s="56"/>
      <c r="D60" s="56"/>
      <c r="E60" s="56"/>
      <c r="F60" s="56"/>
      <c r="G60" s="56"/>
      <c r="H60" s="56"/>
      <c r="I60" s="56"/>
      <c r="J60" s="56"/>
      <c r="K60" s="56"/>
      <c r="L60" s="56"/>
      <c r="M60" s="56"/>
      <c r="N60" s="56"/>
      <c r="O60" s="56"/>
      <c r="P60" s="56"/>
      <c r="Q60" s="56"/>
    </row>
    <row r="61" spans="1:17">
      <c r="A61" s="56"/>
      <c r="B61" s="56"/>
      <c r="C61" s="56"/>
      <c r="D61" s="56"/>
      <c r="E61" s="56"/>
      <c r="F61" s="56"/>
      <c r="G61" s="56"/>
      <c r="H61" s="56"/>
      <c r="I61" s="56"/>
      <c r="J61" s="56"/>
      <c r="K61" s="56"/>
      <c r="L61" s="56"/>
      <c r="M61" s="56"/>
      <c r="N61" s="56"/>
      <c r="O61" s="56"/>
      <c r="P61" s="56"/>
      <c r="Q61" s="56"/>
    </row>
    <row r="62" spans="1:17">
      <c r="A62" s="56"/>
      <c r="B62" s="56"/>
      <c r="C62" s="56"/>
      <c r="D62" s="56"/>
      <c r="E62" s="56"/>
      <c r="F62" s="56"/>
      <c r="G62" s="56"/>
      <c r="H62" s="56"/>
      <c r="I62" s="56"/>
      <c r="J62" s="56"/>
      <c r="K62" s="56"/>
      <c r="L62" s="56"/>
      <c r="M62" s="56"/>
      <c r="N62" s="56"/>
      <c r="O62" s="56"/>
      <c r="P62" s="56"/>
      <c r="Q62" s="56"/>
    </row>
    <row r="63" spans="1:17">
      <c r="A63" s="56"/>
      <c r="B63" s="56"/>
      <c r="C63" s="56"/>
      <c r="D63" s="56"/>
      <c r="E63" s="56"/>
      <c r="F63" s="56"/>
      <c r="G63" s="56"/>
      <c r="H63" s="56"/>
      <c r="I63" s="56"/>
      <c r="J63" s="56"/>
      <c r="K63" s="56"/>
      <c r="L63" s="56"/>
      <c r="M63" s="56"/>
      <c r="N63" s="56"/>
      <c r="O63" s="56"/>
      <c r="P63" s="56"/>
      <c r="Q63" s="56"/>
    </row>
    <row r="64" spans="1:17">
      <c r="A64" s="56"/>
      <c r="B64" s="56"/>
      <c r="C64" s="56"/>
      <c r="D64" s="56"/>
      <c r="E64" s="56"/>
      <c r="F64" s="56"/>
      <c r="G64" s="56"/>
      <c r="H64" s="56"/>
      <c r="I64" s="56"/>
      <c r="J64" s="56"/>
      <c r="K64" s="56"/>
      <c r="L64" s="56"/>
      <c r="M64" s="56"/>
      <c r="N64" s="56"/>
      <c r="O64" s="56"/>
      <c r="P64" s="56"/>
      <c r="Q64" s="56"/>
    </row>
    <row r="65" spans="1:17">
      <c r="A65" s="56"/>
      <c r="B65" s="56"/>
      <c r="C65" s="56"/>
      <c r="D65" s="56"/>
      <c r="E65" s="56"/>
      <c r="F65" s="56"/>
      <c r="G65" s="56"/>
      <c r="H65" s="56"/>
      <c r="I65" s="56"/>
      <c r="J65" s="56"/>
      <c r="K65" s="56"/>
      <c r="L65" s="56"/>
      <c r="M65" s="56"/>
      <c r="N65" s="56"/>
      <c r="O65" s="56"/>
      <c r="P65" s="56"/>
      <c r="Q65" s="56"/>
    </row>
    <row r="66" spans="1:17">
      <c r="A66" s="56"/>
      <c r="B66" s="56"/>
      <c r="C66" s="56"/>
      <c r="D66" s="56"/>
      <c r="E66" s="56"/>
      <c r="F66" s="56"/>
      <c r="G66" s="56"/>
      <c r="H66" s="56"/>
      <c r="I66" s="56"/>
      <c r="J66" s="56"/>
      <c r="K66" s="56"/>
      <c r="L66" s="56"/>
      <c r="M66" s="56"/>
      <c r="N66" s="56"/>
      <c r="O66" s="56"/>
      <c r="P66" s="56"/>
      <c r="Q66" s="56"/>
    </row>
    <row r="67" spans="1:17">
      <c r="A67" s="56"/>
      <c r="B67" s="56"/>
      <c r="C67" s="56"/>
      <c r="D67" s="56"/>
      <c r="E67" s="56"/>
      <c r="F67" s="56"/>
      <c r="G67" s="56"/>
      <c r="H67" s="56"/>
      <c r="I67" s="56"/>
      <c r="J67" s="56"/>
      <c r="K67" s="56"/>
      <c r="L67" s="56"/>
      <c r="M67" s="56"/>
      <c r="N67" s="56"/>
      <c r="O67" s="56"/>
      <c r="P67" s="56"/>
      <c r="Q67" s="56"/>
    </row>
    <row r="68" spans="1:17">
      <c r="A68" s="56"/>
      <c r="B68" s="56"/>
      <c r="C68" s="56"/>
      <c r="D68" s="56"/>
      <c r="E68" s="56"/>
      <c r="F68" s="56"/>
      <c r="G68" s="56"/>
      <c r="H68" s="56"/>
      <c r="I68" s="56"/>
      <c r="J68" s="56"/>
      <c r="K68" s="56"/>
      <c r="L68" s="56"/>
      <c r="M68" s="56"/>
      <c r="N68" s="56"/>
      <c r="O68" s="56"/>
      <c r="P68" s="56"/>
      <c r="Q68" s="56"/>
    </row>
    <row r="69" spans="1:17">
      <c r="A69" s="56"/>
      <c r="B69" s="56"/>
      <c r="C69" s="56"/>
      <c r="D69" s="56"/>
      <c r="E69" s="56"/>
      <c r="F69" s="56"/>
      <c r="G69" s="56"/>
      <c r="H69" s="56"/>
      <c r="I69" s="56"/>
      <c r="J69" s="56"/>
      <c r="K69" s="56"/>
      <c r="L69" s="56"/>
      <c r="M69" s="56"/>
      <c r="N69" s="56"/>
      <c r="O69" s="56"/>
      <c r="P69" s="56"/>
      <c r="Q69" s="56"/>
    </row>
    <row r="70" spans="1:17">
      <c r="A70" s="56"/>
      <c r="B70" s="56"/>
      <c r="C70" s="56"/>
      <c r="D70" s="56"/>
      <c r="E70" s="56"/>
      <c r="F70" s="56"/>
      <c r="G70" s="56"/>
      <c r="H70" s="56"/>
      <c r="I70" s="56"/>
      <c r="J70" s="56"/>
      <c r="K70" s="56"/>
      <c r="L70" s="56"/>
      <c r="M70" s="56"/>
      <c r="N70" s="56"/>
      <c r="O70" s="56"/>
      <c r="P70" s="56"/>
      <c r="Q70" s="56"/>
    </row>
    <row r="71" spans="1:17">
      <c r="A71" s="56"/>
      <c r="B71" s="56"/>
      <c r="C71" s="56"/>
      <c r="D71" s="56"/>
      <c r="E71" s="56"/>
      <c r="F71" s="56"/>
      <c r="G71" s="56"/>
      <c r="H71" s="56"/>
      <c r="I71" s="56"/>
      <c r="J71" s="56"/>
      <c r="K71" s="56"/>
      <c r="L71" s="56"/>
      <c r="M71" s="56"/>
      <c r="N71" s="56"/>
      <c r="O71" s="56"/>
      <c r="P71" s="56"/>
      <c r="Q71" s="56"/>
    </row>
    <row r="72" spans="1:17">
      <c r="A72" s="56"/>
      <c r="B72" s="56"/>
      <c r="C72" s="56"/>
      <c r="D72" s="56"/>
      <c r="E72" s="56"/>
      <c r="F72" s="56"/>
      <c r="G72" s="56"/>
      <c r="H72" s="56"/>
      <c r="I72" s="56"/>
      <c r="J72" s="56"/>
      <c r="K72" s="56"/>
      <c r="L72" s="56"/>
      <c r="M72" s="56"/>
      <c r="N72" s="56"/>
      <c r="O72" s="56"/>
      <c r="P72" s="56"/>
      <c r="Q72" s="56"/>
    </row>
    <row r="73" spans="1:17">
      <c r="A73" s="56"/>
      <c r="B73" s="56"/>
      <c r="C73" s="56"/>
      <c r="D73" s="56"/>
      <c r="E73" s="56"/>
      <c r="F73" s="56"/>
      <c r="G73" s="56"/>
      <c r="H73" s="56"/>
      <c r="I73" s="56"/>
      <c r="J73" s="56"/>
      <c r="K73" s="56"/>
      <c r="L73" s="56"/>
      <c r="M73" s="56"/>
      <c r="N73" s="56"/>
      <c r="O73" s="56"/>
      <c r="P73" s="56"/>
      <c r="Q73" s="56"/>
    </row>
    <row r="74" spans="1:17">
      <c r="A74" s="56"/>
      <c r="B74" s="56"/>
      <c r="C74" s="56"/>
      <c r="D74" s="56"/>
      <c r="E74" s="56"/>
      <c r="F74" s="56"/>
      <c r="G74" s="56"/>
      <c r="H74" s="56"/>
      <c r="I74" s="56"/>
      <c r="J74" s="56"/>
      <c r="K74" s="56"/>
      <c r="L74" s="56"/>
      <c r="M74" s="56"/>
      <c r="N74" s="56"/>
      <c r="O74" s="56"/>
      <c r="P74" s="56"/>
      <c r="Q74" s="56"/>
    </row>
    <row r="75" spans="1:17">
      <c r="A75" s="56"/>
      <c r="B75" s="56"/>
      <c r="C75" s="56"/>
      <c r="D75" s="56"/>
      <c r="E75" s="56"/>
      <c r="F75" s="56"/>
      <c r="G75" s="56"/>
      <c r="H75" s="56"/>
      <c r="I75" s="56"/>
      <c r="J75" s="56"/>
      <c r="K75" s="56"/>
      <c r="L75" s="56"/>
      <c r="M75" s="56"/>
      <c r="N75" s="56"/>
      <c r="O75" s="56"/>
      <c r="P75" s="56"/>
      <c r="Q75" s="56"/>
    </row>
    <row r="76" spans="1:17">
      <c r="A76" s="56"/>
      <c r="B76" s="56"/>
      <c r="C76" s="56"/>
      <c r="D76" s="56"/>
      <c r="E76" s="56"/>
      <c r="F76" s="56"/>
      <c r="G76" s="56"/>
      <c r="H76" s="56"/>
      <c r="I76" s="56"/>
      <c r="J76" s="56"/>
      <c r="K76" s="56"/>
      <c r="L76" s="56"/>
      <c r="M76" s="56"/>
      <c r="N76" s="56"/>
      <c r="O76" s="56"/>
      <c r="P76" s="56"/>
      <c r="Q76" s="56"/>
    </row>
    <row r="77" spans="1:17">
      <c r="A77" s="56"/>
      <c r="B77" s="56"/>
      <c r="C77" s="56"/>
      <c r="D77" s="56"/>
      <c r="E77" s="56"/>
      <c r="F77" s="56"/>
      <c r="G77" s="56"/>
      <c r="H77" s="56"/>
      <c r="I77" s="56"/>
      <c r="J77" s="56"/>
      <c r="K77" s="56"/>
      <c r="L77" s="56"/>
      <c r="M77" s="56"/>
      <c r="N77" s="56"/>
      <c r="O77" s="56"/>
      <c r="P77" s="56"/>
      <c r="Q77" s="56"/>
    </row>
    <row r="78" spans="1:17">
      <c r="A78" s="56"/>
      <c r="B78" s="56"/>
      <c r="C78" s="56"/>
      <c r="D78" s="56"/>
      <c r="E78" s="56"/>
      <c r="F78" s="56"/>
      <c r="G78" s="56"/>
      <c r="H78" s="56"/>
      <c r="I78" s="56"/>
      <c r="J78" s="56"/>
      <c r="K78" s="56"/>
      <c r="L78" s="56"/>
      <c r="M78" s="56"/>
      <c r="N78" s="56"/>
      <c r="O78" s="56"/>
      <c r="P78" s="56"/>
      <c r="Q78" s="56"/>
    </row>
    <row r="79" spans="1:17">
      <c r="A79" s="56"/>
      <c r="B79" s="56"/>
      <c r="C79" s="56"/>
      <c r="D79" s="56"/>
      <c r="E79" s="56"/>
      <c r="F79" s="56"/>
      <c r="G79" s="56"/>
      <c r="H79" s="56"/>
      <c r="I79" s="56"/>
      <c r="J79" s="56"/>
      <c r="K79" s="56"/>
      <c r="L79" s="56"/>
      <c r="M79" s="56"/>
      <c r="N79" s="56"/>
      <c r="O79" s="56"/>
      <c r="P79" s="56"/>
      <c r="Q79" s="56"/>
    </row>
    <row r="80" spans="1:17">
      <c r="A80" s="56"/>
      <c r="B80" s="56"/>
      <c r="C80" s="56"/>
      <c r="D80" s="56"/>
      <c r="E80" s="56"/>
      <c r="F80" s="56"/>
      <c r="G80" s="56"/>
      <c r="H80" s="56"/>
      <c r="I80" s="56"/>
      <c r="J80" s="56"/>
      <c r="K80" s="56"/>
      <c r="L80" s="56"/>
      <c r="M80" s="56"/>
      <c r="N80" s="56"/>
      <c r="O80" s="56"/>
      <c r="P80" s="56"/>
      <c r="Q80" s="56"/>
    </row>
    <row r="81" spans="1:17">
      <c r="A81" s="56"/>
      <c r="B81" s="56"/>
      <c r="C81" s="56"/>
      <c r="D81" s="56"/>
      <c r="E81" s="56"/>
      <c r="F81" s="56"/>
      <c r="G81" s="56"/>
      <c r="H81" s="56"/>
      <c r="I81" s="56"/>
      <c r="J81" s="56"/>
      <c r="K81" s="56"/>
      <c r="L81" s="56"/>
      <c r="M81" s="56"/>
      <c r="N81" s="56"/>
      <c r="O81" s="56"/>
      <c r="P81" s="56"/>
      <c r="Q81" s="56"/>
    </row>
    <row r="82" spans="1:17">
      <c r="A82" s="56"/>
      <c r="B82" s="56"/>
      <c r="C82" s="56"/>
      <c r="D82" s="56"/>
      <c r="E82" s="56"/>
      <c r="F82" s="56"/>
      <c r="G82" s="56"/>
      <c r="H82" s="56"/>
      <c r="I82" s="56"/>
      <c r="J82" s="56"/>
      <c r="K82" s="56"/>
      <c r="L82" s="56"/>
      <c r="M82" s="56"/>
      <c r="N82" s="56"/>
      <c r="O82" s="56"/>
      <c r="P82" s="56"/>
      <c r="Q82" s="56"/>
    </row>
    <row r="83" spans="1:17">
      <c r="A83" s="56"/>
      <c r="B83" s="56"/>
      <c r="C83" s="56"/>
      <c r="D83" s="56"/>
      <c r="E83" s="56"/>
      <c r="F83" s="56"/>
      <c r="G83" s="56"/>
      <c r="H83" s="56"/>
      <c r="I83" s="56"/>
      <c r="J83" s="56"/>
      <c r="K83" s="56"/>
      <c r="L83" s="56"/>
      <c r="M83" s="56"/>
      <c r="N83" s="56"/>
      <c r="O83" s="56"/>
      <c r="P83" s="56"/>
      <c r="Q83" s="56"/>
    </row>
    <row r="84" spans="1:17">
      <c r="A84" s="56"/>
      <c r="B84" s="56"/>
      <c r="C84" s="56"/>
      <c r="D84" s="56"/>
      <c r="E84" s="56"/>
      <c r="F84" s="56"/>
      <c r="G84" s="56"/>
      <c r="H84" s="56"/>
      <c r="I84" s="56"/>
      <c r="J84" s="56"/>
      <c r="K84" s="56"/>
      <c r="L84" s="56"/>
      <c r="M84" s="56"/>
      <c r="N84" s="56"/>
      <c r="O84" s="56"/>
      <c r="P84" s="56"/>
      <c r="Q84" s="56"/>
    </row>
    <row r="85" spans="1:17">
      <c r="A85" s="56"/>
      <c r="B85" s="56"/>
      <c r="C85" s="56"/>
      <c r="D85" s="56"/>
      <c r="E85" s="56"/>
      <c r="F85" s="56"/>
      <c r="G85" s="56"/>
      <c r="H85" s="56"/>
      <c r="I85" s="56"/>
      <c r="J85" s="56"/>
      <c r="K85" s="56"/>
      <c r="L85" s="56"/>
      <c r="M85" s="56"/>
      <c r="N85" s="56"/>
      <c r="O85" s="56"/>
      <c r="P85" s="56"/>
      <c r="Q85" s="56"/>
    </row>
    <row r="86" spans="1:17">
      <c r="A86" s="56"/>
      <c r="B86" s="56"/>
      <c r="C86" s="56"/>
      <c r="D86" s="56"/>
      <c r="E86" s="56"/>
      <c r="F86" s="56"/>
      <c r="G86" s="56"/>
      <c r="H86" s="56"/>
      <c r="I86" s="56"/>
      <c r="J86" s="56"/>
      <c r="K86" s="56"/>
      <c r="L86" s="56"/>
      <c r="M86" s="56"/>
      <c r="N86" s="56"/>
      <c r="O86" s="56"/>
      <c r="P86" s="56"/>
      <c r="Q86" s="56"/>
    </row>
    <row r="87" spans="1:17">
      <c r="A87" s="56"/>
      <c r="B87" s="56"/>
      <c r="C87" s="56"/>
      <c r="D87" s="56"/>
      <c r="E87" s="56"/>
      <c r="F87" s="56"/>
      <c r="G87" s="56"/>
      <c r="H87" s="56"/>
      <c r="I87" s="56"/>
      <c r="J87" s="56"/>
      <c r="K87" s="56"/>
      <c r="L87" s="56"/>
      <c r="M87" s="56"/>
      <c r="N87" s="56"/>
      <c r="O87" s="56"/>
      <c r="P87" s="56"/>
      <c r="Q87" s="56"/>
    </row>
    <row r="88" spans="1:17">
      <c r="A88" s="56"/>
      <c r="B88" s="56"/>
      <c r="C88" s="56"/>
      <c r="D88" s="56"/>
      <c r="E88" s="56"/>
      <c r="F88" s="56"/>
      <c r="G88" s="56"/>
      <c r="H88" s="56"/>
      <c r="I88" s="56"/>
      <c r="J88" s="56"/>
      <c r="K88" s="56"/>
      <c r="L88" s="56"/>
      <c r="M88" s="56"/>
      <c r="N88" s="56"/>
      <c r="O88" s="56"/>
      <c r="P88" s="56"/>
      <c r="Q88" s="56"/>
    </row>
    <row r="89" spans="1:17">
      <c r="A89" s="56"/>
      <c r="B89" s="56"/>
      <c r="C89" s="56"/>
      <c r="D89" s="56"/>
      <c r="E89" s="56"/>
      <c r="F89" s="56"/>
      <c r="G89" s="56"/>
      <c r="H89" s="56"/>
      <c r="I89" s="56"/>
      <c r="J89" s="56"/>
      <c r="K89" s="56"/>
      <c r="L89" s="56"/>
      <c r="M89" s="56"/>
      <c r="N89" s="56"/>
      <c r="O89" s="56"/>
      <c r="P89" s="56"/>
      <c r="Q89" s="56"/>
    </row>
    <row r="90" spans="1:17">
      <c r="A90" s="56"/>
      <c r="B90" s="56"/>
      <c r="C90" s="56"/>
      <c r="D90" s="56"/>
      <c r="E90" s="56"/>
      <c r="F90" s="56"/>
      <c r="G90" s="56"/>
      <c r="H90" s="56"/>
      <c r="I90" s="56"/>
      <c r="J90" s="56"/>
      <c r="K90" s="56"/>
      <c r="L90" s="56"/>
      <c r="M90" s="56"/>
      <c r="N90" s="56"/>
      <c r="O90" s="56"/>
      <c r="P90" s="56"/>
      <c r="Q90" s="56"/>
    </row>
    <row r="91" spans="1:17">
      <c r="A91" s="56"/>
      <c r="B91" s="56"/>
      <c r="C91" s="56"/>
      <c r="D91" s="56"/>
      <c r="E91" s="56"/>
      <c r="F91" s="56"/>
      <c r="G91" s="56"/>
      <c r="H91" s="56"/>
      <c r="I91" s="56"/>
      <c r="J91" s="56"/>
      <c r="K91" s="56"/>
      <c r="L91" s="56"/>
      <c r="M91" s="56"/>
      <c r="N91" s="56"/>
      <c r="O91" s="56"/>
      <c r="P91" s="56"/>
      <c r="Q91" s="56"/>
    </row>
    <row r="92" spans="1:17">
      <c r="A92" s="56"/>
      <c r="B92" s="56"/>
      <c r="C92" s="56"/>
      <c r="D92" s="56"/>
      <c r="E92" s="56"/>
      <c r="F92" s="56"/>
      <c r="G92" s="56"/>
      <c r="H92" s="56"/>
      <c r="I92" s="56"/>
      <c r="J92" s="56"/>
      <c r="K92" s="56"/>
      <c r="L92" s="56"/>
      <c r="M92" s="56"/>
      <c r="N92" s="56"/>
      <c r="O92" s="56"/>
      <c r="P92" s="56"/>
      <c r="Q92" s="56"/>
    </row>
    <row r="93" spans="1:17">
      <c r="A93" s="56"/>
      <c r="B93" s="56"/>
      <c r="C93" s="56"/>
      <c r="D93" s="56"/>
      <c r="E93" s="56"/>
      <c r="F93" s="56"/>
      <c r="G93" s="56"/>
      <c r="H93" s="56"/>
      <c r="I93" s="56"/>
      <c r="J93" s="56"/>
      <c r="K93" s="56"/>
      <c r="L93" s="56"/>
      <c r="M93" s="56"/>
      <c r="N93" s="56"/>
      <c r="O93" s="56"/>
      <c r="P93" s="56"/>
      <c r="Q93" s="56"/>
    </row>
    <row r="94" spans="1:17">
      <c r="A94" s="56"/>
      <c r="B94" s="56"/>
      <c r="C94" s="56"/>
      <c r="D94" s="56"/>
      <c r="E94" s="56"/>
      <c r="F94" s="56"/>
      <c r="G94" s="56"/>
      <c r="H94" s="56"/>
      <c r="I94" s="56"/>
      <c r="J94" s="56"/>
      <c r="K94" s="56"/>
      <c r="L94" s="56"/>
      <c r="M94" s="56"/>
      <c r="N94" s="56"/>
      <c r="O94" s="56"/>
      <c r="P94" s="56"/>
      <c r="Q94" s="56"/>
    </row>
    <row r="95" spans="1:17">
      <c r="A95" s="56"/>
      <c r="B95" s="56"/>
      <c r="C95" s="56"/>
      <c r="D95" s="56"/>
      <c r="E95" s="56"/>
      <c r="F95" s="56"/>
      <c r="G95" s="56"/>
      <c r="H95" s="56"/>
      <c r="I95" s="56"/>
      <c r="J95" s="56"/>
      <c r="K95" s="56"/>
      <c r="L95" s="56"/>
      <c r="M95" s="56"/>
      <c r="N95" s="56"/>
      <c r="O95" s="56"/>
      <c r="P95" s="56"/>
      <c r="Q95" s="56"/>
    </row>
    <row r="96" spans="1:17">
      <c r="A96" s="56"/>
      <c r="B96" s="56"/>
      <c r="C96" s="56"/>
      <c r="D96" s="56"/>
      <c r="E96" s="56"/>
      <c r="F96" s="56"/>
      <c r="G96" s="56"/>
      <c r="H96" s="56"/>
      <c r="I96" s="56"/>
      <c r="J96" s="56"/>
      <c r="K96" s="56"/>
      <c r="L96" s="56"/>
      <c r="M96" s="56"/>
      <c r="N96" s="56"/>
      <c r="O96" s="56"/>
      <c r="P96" s="56"/>
      <c r="Q96" s="56"/>
    </row>
    <row r="97" spans="1:17">
      <c r="A97" s="56"/>
      <c r="B97" s="56"/>
      <c r="C97" s="56"/>
      <c r="D97" s="56"/>
      <c r="E97" s="56"/>
      <c r="F97" s="56"/>
      <c r="G97" s="56"/>
      <c r="H97" s="56"/>
      <c r="I97" s="56"/>
      <c r="J97" s="56"/>
      <c r="K97" s="56"/>
      <c r="L97" s="56"/>
      <c r="M97" s="56"/>
      <c r="N97" s="56"/>
      <c r="O97" s="56"/>
      <c r="P97" s="56"/>
      <c r="Q97" s="56"/>
    </row>
    <row r="98" spans="1:17">
      <c r="A98" s="56"/>
      <c r="B98" s="56"/>
      <c r="C98" s="56"/>
      <c r="D98" s="56"/>
      <c r="E98" s="56"/>
      <c r="F98" s="56"/>
      <c r="G98" s="56"/>
      <c r="H98" s="56"/>
      <c r="I98" s="56"/>
      <c r="J98" s="56"/>
      <c r="K98" s="56"/>
      <c r="L98" s="56"/>
      <c r="M98" s="56"/>
      <c r="N98" s="56"/>
      <c r="O98" s="56"/>
      <c r="P98" s="56"/>
      <c r="Q98" s="56"/>
    </row>
    <row r="99" spans="1:17">
      <c r="A99" s="56"/>
      <c r="B99" s="56"/>
      <c r="C99" s="56"/>
      <c r="D99" s="56"/>
      <c r="E99" s="56"/>
      <c r="F99" s="56"/>
      <c r="G99" s="56"/>
      <c r="H99" s="56"/>
      <c r="I99" s="56"/>
      <c r="J99" s="56"/>
      <c r="K99" s="56"/>
      <c r="L99" s="56"/>
      <c r="M99" s="56"/>
      <c r="N99" s="56"/>
      <c r="O99" s="56"/>
      <c r="P99" s="56"/>
      <c r="Q99" s="56"/>
    </row>
    <row r="100" spans="1:17">
      <c r="A100" s="56"/>
      <c r="B100" s="56"/>
      <c r="C100" s="56"/>
      <c r="D100" s="56"/>
      <c r="E100" s="56"/>
      <c r="F100" s="56"/>
      <c r="G100" s="56"/>
      <c r="H100" s="56"/>
      <c r="I100" s="56"/>
      <c r="J100" s="56"/>
      <c r="K100" s="56"/>
      <c r="L100" s="56"/>
      <c r="M100" s="56"/>
      <c r="N100" s="56"/>
      <c r="O100" s="56"/>
      <c r="P100" s="56"/>
      <c r="Q100" s="56"/>
    </row>
    <row r="101" spans="1:17">
      <c r="A101" s="56"/>
      <c r="B101" s="56"/>
      <c r="C101" s="56"/>
      <c r="D101" s="56"/>
      <c r="E101" s="56"/>
      <c r="F101" s="56"/>
      <c r="G101" s="56"/>
      <c r="H101" s="56"/>
      <c r="I101" s="56"/>
      <c r="J101" s="56"/>
      <c r="K101" s="56"/>
      <c r="L101" s="56"/>
      <c r="M101" s="56"/>
      <c r="N101" s="56"/>
      <c r="O101" s="56"/>
      <c r="P101" s="56"/>
      <c r="Q101" s="56"/>
    </row>
    <row r="102" spans="1:17">
      <c r="A102" s="56"/>
      <c r="B102" s="56"/>
      <c r="C102" s="56"/>
      <c r="D102" s="56"/>
      <c r="E102" s="56"/>
      <c r="F102" s="56"/>
      <c r="G102" s="56"/>
      <c r="H102" s="56"/>
      <c r="I102" s="56"/>
      <c r="J102" s="56"/>
      <c r="K102" s="56"/>
      <c r="L102" s="56"/>
      <c r="M102" s="56"/>
      <c r="N102" s="56"/>
      <c r="O102" s="56"/>
      <c r="P102" s="56"/>
      <c r="Q102" s="56"/>
    </row>
    <row r="103" spans="1:17">
      <c r="A103" s="56"/>
      <c r="B103" s="56"/>
      <c r="C103" s="56"/>
      <c r="D103" s="56"/>
      <c r="E103" s="56"/>
      <c r="F103" s="56"/>
      <c r="G103" s="56"/>
      <c r="H103" s="56"/>
      <c r="I103" s="56"/>
      <c r="J103" s="56"/>
      <c r="K103" s="56"/>
      <c r="L103" s="56"/>
      <c r="M103" s="56"/>
      <c r="N103" s="56"/>
      <c r="O103" s="56"/>
      <c r="P103" s="56"/>
      <c r="Q103" s="56"/>
    </row>
    <row r="104" spans="1:17">
      <c r="A104" s="56"/>
      <c r="B104" s="56"/>
      <c r="C104" s="56"/>
      <c r="D104" s="56"/>
      <c r="E104" s="56"/>
      <c r="F104" s="56"/>
      <c r="G104" s="56"/>
      <c r="H104" s="56"/>
      <c r="I104" s="56"/>
      <c r="J104" s="56"/>
      <c r="K104" s="56"/>
      <c r="L104" s="56"/>
      <c r="M104" s="56"/>
      <c r="N104" s="56"/>
      <c r="O104" s="56"/>
      <c r="P104" s="56"/>
      <c r="Q104" s="56"/>
    </row>
    <row r="105" spans="1:17">
      <c r="A105" s="56"/>
      <c r="B105" s="56"/>
      <c r="C105" s="56"/>
      <c r="D105" s="56"/>
      <c r="E105" s="56"/>
      <c r="F105" s="56"/>
      <c r="G105" s="56"/>
      <c r="H105" s="56"/>
      <c r="I105" s="56"/>
      <c r="J105" s="56"/>
      <c r="K105" s="56"/>
      <c r="L105" s="56"/>
      <c r="M105" s="56"/>
      <c r="N105" s="56"/>
      <c r="O105" s="56"/>
      <c r="P105" s="56"/>
      <c r="Q105" s="56"/>
    </row>
    <row r="106" spans="1:17">
      <c r="A106" s="56"/>
      <c r="B106" s="56"/>
      <c r="C106" s="56"/>
      <c r="D106" s="56"/>
      <c r="E106" s="56"/>
      <c r="F106" s="56"/>
      <c r="G106" s="56"/>
      <c r="H106" s="56"/>
      <c r="I106" s="56"/>
      <c r="J106" s="56"/>
      <c r="K106" s="56"/>
      <c r="L106" s="56"/>
      <c r="M106" s="56"/>
      <c r="N106" s="56"/>
      <c r="O106" s="56"/>
      <c r="P106" s="56"/>
      <c r="Q106" s="56"/>
    </row>
    <row r="107" spans="1:17">
      <c r="A107" s="56"/>
      <c r="B107" s="56"/>
      <c r="C107" s="56"/>
      <c r="D107" s="56"/>
      <c r="E107" s="56"/>
      <c r="F107" s="56"/>
      <c r="G107" s="56"/>
      <c r="H107" s="56"/>
      <c r="I107" s="56"/>
      <c r="J107" s="56"/>
      <c r="K107" s="56"/>
      <c r="L107" s="56"/>
      <c r="M107" s="56"/>
      <c r="N107" s="56"/>
      <c r="O107" s="56"/>
      <c r="P107" s="56"/>
      <c r="Q107" s="56"/>
    </row>
    <row r="108" spans="1:17">
      <c r="A108" s="56"/>
      <c r="B108" s="56"/>
      <c r="C108" s="56"/>
      <c r="D108" s="56"/>
      <c r="E108" s="56"/>
      <c r="F108" s="56"/>
      <c r="G108" s="56"/>
      <c r="H108" s="56"/>
      <c r="I108" s="56"/>
      <c r="J108" s="56"/>
      <c r="K108" s="56"/>
      <c r="L108" s="56"/>
      <c r="M108" s="56"/>
      <c r="N108" s="56"/>
      <c r="O108" s="56"/>
      <c r="P108" s="56"/>
      <c r="Q108" s="56"/>
    </row>
    <row r="109" spans="1:17">
      <c r="A109" s="56"/>
      <c r="B109" s="56"/>
      <c r="C109" s="56"/>
      <c r="D109" s="56"/>
      <c r="E109" s="56"/>
      <c r="F109" s="56"/>
      <c r="G109" s="56"/>
      <c r="H109" s="56"/>
      <c r="I109" s="56"/>
      <c r="J109" s="56"/>
      <c r="K109" s="56"/>
      <c r="L109" s="56"/>
      <c r="M109" s="56"/>
      <c r="N109" s="56"/>
      <c r="O109" s="56"/>
      <c r="P109" s="56"/>
      <c r="Q109" s="56"/>
    </row>
    <row r="110" spans="1:17">
      <c r="A110" s="56"/>
      <c r="B110" s="56"/>
      <c r="C110" s="56"/>
      <c r="D110" s="56"/>
      <c r="E110" s="56"/>
      <c r="F110" s="56"/>
      <c r="G110" s="56"/>
      <c r="H110" s="56"/>
      <c r="I110" s="56"/>
      <c r="J110" s="56"/>
      <c r="K110" s="56"/>
      <c r="L110" s="56"/>
      <c r="M110" s="56"/>
      <c r="N110" s="56"/>
      <c r="O110" s="56"/>
      <c r="P110" s="56"/>
      <c r="Q110" s="56"/>
    </row>
    <row r="111" spans="1:17">
      <c r="A111" s="56"/>
      <c r="B111" s="56"/>
      <c r="C111" s="56"/>
      <c r="D111" s="56"/>
      <c r="E111" s="56"/>
      <c r="F111" s="56"/>
      <c r="G111" s="56"/>
      <c r="H111" s="56"/>
      <c r="I111" s="56"/>
      <c r="J111" s="56"/>
      <c r="K111" s="56"/>
      <c r="L111" s="56"/>
      <c r="M111" s="56"/>
      <c r="N111" s="56"/>
      <c r="O111" s="56"/>
      <c r="P111" s="56"/>
      <c r="Q111" s="56"/>
    </row>
    <row r="112" spans="1:17">
      <c r="A112" s="56"/>
      <c r="B112" s="56"/>
      <c r="C112" s="56"/>
      <c r="D112" s="56"/>
      <c r="E112" s="56"/>
      <c r="F112" s="56"/>
      <c r="G112" s="56"/>
      <c r="H112" s="56"/>
      <c r="I112" s="56"/>
      <c r="J112" s="56"/>
      <c r="K112" s="56"/>
      <c r="L112" s="56"/>
      <c r="M112" s="56"/>
      <c r="N112" s="56"/>
      <c r="O112" s="56"/>
      <c r="P112" s="56"/>
      <c r="Q112" s="56"/>
    </row>
    <row r="113" spans="1:17">
      <c r="A113" s="56"/>
      <c r="B113" s="56"/>
      <c r="C113" s="56"/>
      <c r="D113" s="56"/>
      <c r="E113" s="56"/>
      <c r="F113" s="56"/>
      <c r="G113" s="56"/>
      <c r="H113" s="56"/>
      <c r="I113" s="56"/>
      <c r="J113" s="56"/>
      <c r="K113" s="56"/>
      <c r="L113" s="56"/>
      <c r="M113" s="56"/>
      <c r="N113" s="56"/>
      <c r="O113" s="56"/>
      <c r="P113" s="56"/>
      <c r="Q113" s="56"/>
    </row>
    <row r="114" spans="1:17">
      <c r="A114" s="56"/>
      <c r="B114" s="56"/>
      <c r="C114" s="56"/>
      <c r="D114" s="56"/>
      <c r="E114" s="56"/>
      <c r="F114" s="56"/>
      <c r="G114" s="56"/>
      <c r="H114" s="56"/>
      <c r="I114" s="56"/>
      <c r="J114" s="56"/>
      <c r="K114" s="56"/>
      <c r="L114" s="56"/>
      <c r="M114" s="56"/>
      <c r="N114" s="56"/>
      <c r="O114" s="56"/>
      <c r="P114" s="56"/>
      <c r="Q114" s="56"/>
    </row>
    <row r="115" spans="1:17">
      <c r="A115" s="56"/>
      <c r="B115" s="56"/>
      <c r="C115" s="56"/>
      <c r="D115" s="56"/>
      <c r="E115" s="56"/>
      <c r="F115" s="56"/>
      <c r="G115" s="56"/>
      <c r="H115" s="56"/>
      <c r="I115" s="56"/>
      <c r="J115" s="56"/>
      <c r="K115" s="56"/>
      <c r="L115" s="56"/>
      <c r="M115" s="56"/>
      <c r="N115" s="56"/>
      <c r="O115" s="56"/>
      <c r="P115" s="56"/>
      <c r="Q115" s="56"/>
    </row>
    <row r="116" spans="1:17">
      <c r="A116" s="56"/>
      <c r="B116" s="56"/>
      <c r="C116" s="56"/>
      <c r="D116" s="56"/>
      <c r="E116" s="56"/>
      <c r="F116" s="56"/>
      <c r="G116" s="56"/>
      <c r="H116" s="56"/>
      <c r="I116" s="56"/>
      <c r="J116" s="56"/>
      <c r="K116" s="56"/>
      <c r="L116" s="56"/>
      <c r="M116" s="56"/>
      <c r="N116" s="56"/>
      <c r="O116" s="56"/>
      <c r="P116" s="56"/>
      <c r="Q116" s="56"/>
    </row>
    <row r="117" spans="1:17">
      <c r="A117" s="56"/>
      <c r="B117" s="56"/>
      <c r="C117" s="56"/>
      <c r="D117" s="56"/>
      <c r="E117" s="56"/>
      <c r="F117" s="56"/>
      <c r="G117" s="56"/>
      <c r="H117" s="56"/>
      <c r="I117" s="56"/>
      <c r="J117" s="56"/>
      <c r="K117" s="56"/>
      <c r="L117" s="56"/>
      <c r="M117" s="56"/>
      <c r="N117" s="56"/>
      <c r="O117" s="56"/>
      <c r="P117" s="56"/>
      <c r="Q117" s="56"/>
    </row>
    <row r="118" spans="1:17">
      <c r="A118" s="56"/>
      <c r="B118" s="56"/>
      <c r="C118" s="56"/>
      <c r="D118" s="56"/>
      <c r="E118" s="56"/>
      <c r="F118" s="56"/>
      <c r="G118" s="56"/>
      <c r="H118" s="56"/>
      <c r="I118" s="56"/>
      <c r="J118" s="56"/>
      <c r="K118" s="56"/>
      <c r="L118" s="56"/>
      <c r="M118" s="56"/>
      <c r="N118" s="56"/>
      <c r="O118" s="56"/>
      <c r="P118" s="56"/>
      <c r="Q118" s="56"/>
    </row>
    <row r="119" spans="1:17">
      <c r="A119" s="56"/>
      <c r="B119" s="56"/>
      <c r="C119" s="56"/>
      <c r="D119" s="56"/>
      <c r="E119" s="56"/>
      <c r="F119" s="56"/>
      <c r="G119" s="56"/>
      <c r="H119" s="56"/>
      <c r="I119" s="56"/>
      <c r="J119" s="56"/>
      <c r="K119" s="56"/>
      <c r="L119" s="56"/>
      <c r="M119" s="56"/>
      <c r="N119" s="56"/>
      <c r="O119" s="56"/>
      <c r="P119" s="56"/>
      <c r="Q119" s="56"/>
    </row>
    <row r="120" spans="1:17">
      <c r="A120" s="56"/>
      <c r="B120" s="56"/>
      <c r="C120" s="56"/>
      <c r="D120" s="56"/>
      <c r="E120" s="56"/>
      <c r="F120" s="56"/>
      <c r="G120" s="56"/>
      <c r="H120" s="56"/>
      <c r="I120" s="56"/>
      <c r="J120" s="56"/>
      <c r="K120" s="56"/>
      <c r="L120" s="56"/>
      <c r="M120" s="56"/>
      <c r="N120" s="56"/>
      <c r="O120" s="56"/>
      <c r="P120" s="56"/>
      <c r="Q120" s="56"/>
    </row>
    <row r="121" spans="1:17">
      <c r="A121" s="56"/>
      <c r="B121" s="56"/>
      <c r="C121" s="56"/>
      <c r="D121" s="56"/>
      <c r="E121" s="56"/>
      <c r="F121" s="56"/>
      <c r="G121" s="56"/>
      <c r="H121" s="56"/>
      <c r="I121" s="56"/>
      <c r="J121" s="56"/>
      <c r="K121" s="56"/>
      <c r="L121" s="56"/>
      <c r="M121" s="56"/>
      <c r="N121" s="56"/>
      <c r="O121" s="56"/>
      <c r="P121" s="56"/>
      <c r="Q121" s="56"/>
    </row>
    <row r="122" spans="1:17">
      <c r="A122" s="56"/>
      <c r="B122" s="56"/>
      <c r="C122" s="56"/>
      <c r="D122" s="56"/>
      <c r="E122" s="56"/>
      <c r="F122" s="56"/>
      <c r="G122" s="56"/>
      <c r="H122" s="56"/>
      <c r="I122" s="56"/>
      <c r="J122" s="56"/>
      <c r="K122" s="56"/>
      <c r="L122" s="56"/>
      <c r="M122" s="56"/>
      <c r="N122" s="56"/>
      <c r="O122" s="56"/>
      <c r="P122" s="56"/>
      <c r="Q122" s="56"/>
    </row>
    <row r="123" spans="1:17">
      <c r="A123" s="56"/>
      <c r="B123" s="56"/>
      <c r="C123" s="56"/>
      <c r="D123" s="56"/>
      <c r="E123" s="56"/>
      <c r="F123" s="56"/>
      <c r="G123" s="56"/>
      <c r="H123" s="56"/>
      <c r="I123" s="56"/>
      <c r="J123" s="56"/>
      <c r="K123" s="56"/>
      <c r="L123" s="56"/>
      <c r="M123" s="56"/>
      <c r="N123" s="56"/>
      <c r="O123" s="56"/>
      <c r="P123" s="56"/>
      <c r="Q123" s="56"/>
    </row>
    <row r="124" spans="1:17">
      <c r="A124" s="56"/>
      <c r="B124" s="56"/>
      <c r="C124" s="56"/>
      <c r="D124" s="56"/>
      <c r="E124" s="56"/>
      <c r="F124" s="56"/>
      <c r="G124" s="56"/>
      <c r="H124" s="56"/>
      <c r="I124" s="56"/>
      <c r="J124" s="56"/>
      <c r="K124" s="56"/>
      <c r="L124" s="56"/>
      <c r="M124" s="56"/>
      <c r="N124" s="56"/>
      <c r="O124" s="56"/>
      <c r="P124" s="56"/>
      <c r="Q124" s="56"/>
    </row>
    <row r="125" spans="1:17">
      <c r="A125" s="56"/>
      <c r="B125" s="56"/>
      <c r="C125" s="56"/>
      <c r="D125" s="56"/>
      <c r="E125" s="56"/>
      <c r="F125" s="56"/>
      <c r="G125" s="56"/>
      <c r="H125" s="56"/>
      <c r="I125" s="56"/>
      <c r="J125" s="56"/>
      <c r="K125" s="56"/>
      <c r="L125" s="56"/>
      <c r="M125" s="56"/>
      <c r="N125" s="56"/>
      <c r="O125" s="56"/>
      <c r="P125" s="56"/>
      <c r="Q125" s="56"/>
    </row>
    <row r="126" spans="1:17">
      <c r="A126" s="56"/>
      <c r="B126" s="56"/>
      <c r="C126" s="56"/>
      <c r="D126" s="56"/>
      <c r="E126" s="56"/>
      <c r="F126" s="56"/>
      <c r="G126" s="56"/>
      <c r="H126" s="56"/>
      <c r="I126" s="56"/>
      <c r="J126" s="56"/>
      <c r="K126" s="56"/>
      <c r="L126" s="56"/>
      <c r="M126" s="56"/>
      <c r="N126" s="56"/>
      <c r="O126" s="56"/>
      <c r="P126" s="56"/>
      <c r="Q126" s="56"/>
    </row>
    <row r="127" spans="1:17">
      <c r="A127" s="56"/>
      <c r="B127" s="56"/>
      <c r="C127" s="56"/>
      <c r="D127" s="56"/>
      <c r="E127" s="56"/>
      <c r="F127" s="56"/>
      <c r="G127" s="56"/>
      <c r="H127" s="56"/>
      <c r="I127" s="56"/>
      <c r="J127" s="56"/>
      <c r="K127" s="56"/>
      <c r="L127" s="56"/>
      <c r="M127" s="56"/>
      <c r="N127" s="56"/>
      <c r="O127" s="56"/>
      <c r="P127" s="56"/>
      <c r="Q127" s="56"/>
    </row>
    <row r="128" spans="1:17">
      <c r="A128" s="56"/>
      <c r="B128" s="56"/>
      <c r="C128" s="56"/>
      <c r="D128" s="56"/>
      <c r="E128" s="56"/>
      <c r="F128" s="56"/>
      <c r="G128" s="56"/>
      <c r="H128" s="56"/>
      <c r="I128" s="56"/>
      <c r="J128" s="56"/>
      <c r="K128" s="56"/>
      <c r="L128" s="56"/>
      <c r="M128" s="56"/>
      <c r="N128" s="56"/>
      <c r="O128" s="56"/>
      <c r="P128" s="56"/>
      <c r="Q128" s="56"/>
    </row>
    <row r="129" spans="1:17">
      <c r="A129" s="56"/>
      <c r="B129" s="56"/>
      <c r="C129" s="56"/>
      <c r="D129" s="56"/>
      <c r="E129" s="56"/>
      <c r="F129" s="56"/>
      <c r="G129" s="56"/>
      <c r="H129" s="56"/>
      <c r="I129" s="56"/>
      <c r="J129" s="56"/>
      <c r="K129" s="56"/>
      <c r="L129" s="56"/>
      <c r="M129" s="56"/>
      <c r="N129" s="56"/>
      <c r="O129" s="56"/>
      <c r="P129" s="56"/>
      <c r="Q129" s="56"/>
    </row>
    <row r="130" spans="1:17">
      <c r="A130" s="56"/>
      <c r="B130" s="56"/>
      <c r="C130" s="56"/>
      <c r="D130" s="56"/>
      <c r="E130" s="56"/>
      <c r="F130" s="56"/>
      <c r="G130" s="56"/>
      <c r="H130" s="56"/>
      <c r="I130" s="56"/>
      <c r="J130" s="56"/>
      <c r="K130" s="56"/>
      <c r="L130" s="56"/>
      <c r="M130" s="56"/>
      <c r="N130" s="56"/>
      <c r="O130" s="56"/>
      <c r="P130" s="56"/>
      <c r="Q130" s="56"/>
    </row>
    <row r="131" spans="1:17">
      <c r="A131" s="56"/>
      <c r="B131" s="56"/>
      <c r="C131" s="56"/>
      <c r="D131" s="56"/>
      <c r="E131" s="56"/>
      <c r="F131" s="56"/>
      <c r="G131" s="56"/>
      <c r="H131" s="56"/>
      <c r="I131" s="56"/>
      <c r="J131" s="56"/>
      <c r="K131" s="56"/>
      <c r="L131" s="56"/>
      <c r="M131" s="56"/>
      <c r="N131" s="56"/>
      <c r="O131" s="56"/>
      <c r="P131" s="56"/>
      <c r="Q131" s="56"/>
    </row>
    <row r="132" spans="1:17">
      <c r="A132" s="56"/>
      <c r="B132" s="56"/>
      <c r="C132" s="56"/>
      <c r="D132" s="56"/>
      <c r="E132" s="56"/>
      <c r="F132" s="56"/>
      <c r="G132" s="56"/>
      <c r="H132" s="56"/>
      <c r="I132" s="56"/>
      <c r="J132" s="56"/>
      <c r="K132" s="56"/>
      <c r="L132" s="56"/>
      <c r="M132" s="56"/>
      <c r="N132" s="56"/>
      <c r="O132" s="56"/>
      <c r="P132" s="56"/>
      <c r="Q132" s="56"/>
    </row>
    <row r="133" spans="1:17">
      <c r="A133" s="56"/>
      <c r="B133" s="56"/>
      <c r="C133" s="56"/>
      <c r="D133" s="56"/>
      <c r="E133" s="56"/>
      <c r="F133" s="56"/>
      <c r="G133" s="56"/>
      <c r="H133" s="56"/>
      <c r="I133" s="56"/>
      <c r="J133" s="56"/>
      <c r="K133" s="56"/>
      <c r="L133" s="56"/>
      <c r="M133" s="56"/>
      <c r="N133" s="56"/>
      <c r="O133" s="56"/>
      <c r="P133" s="56"/>
      <c r="Q133" s="56"/>
    </row>
    <row r="134" spans="1:17">
      <c r="A134" s="56"/>
      <c r="B134" s="56"/>
      <c r="C134" s="56"/>
      <c r="D134" s="56"/>
      <c r="E134" s="56"/>
      <c r="F134" s="56"/>
      <c r="G134" s="56"/>
      <c r="H134" s="56"/>
      <c r="I134" s="56"/>
      <c r="J134" s="56"/>
      <c r="K134" s="56"/>
      <c r="L134" s="56"/>
      <c r="M134" s="56"/>
      <c r="N134" s="56"/>
      <c r="O134" s="56"/>
      <c r="P134" s="56"/>
      <c r="Q134" s="56"/>
    </row>
    <row r="135" spans="1:17">
      <c r="A135" s="56"/>
      <c r="B135" s="56"/>
      <c r="C135" s="56"/>
      <c r="D135" s="56"/>
      <c r="E135" s="56"/>
      <c r="F135" s="56"/>
      <c r="G135" s="56"/>
      <c r="H135" s="56"/>
      <c r="I135" s="56"/>
      <c r="J135" s="56"/>
      <c r="K135" s="56"/>
      <c r="L135" s="56"/>
      <c r="M135" s="56"/>
      <c r="N135" s="56"/>
      <c r="O135" s="56"/>
      <c r="P135" s="56"/>
      <c r="Q135" s="56"/>
    </row>
    <row r="136" spans="1:17">
      <c r="A136" s="56"/>
      <c r="B136" s="56"/>
      <c r="C136" s="56"/>
      <c r="D136" s="56"/>
      <c r="E136" s="56"/>
      <c r="F136" s="56"/>
      <c r="G136" s="56"/>
      <c r="H136" s="56"/>
      <c r="I136" s="56"/>
      <c r="J136" s="56"/>
      <c r="K136" s="56"/>
      <c r="L136" s="56"/>
      <c r="M136" s="56"/>
      <c r="N136" s="56"/>
      <c r="O136" s="56"/>
      <c r="P136" s="56"/>
      <c r="Q136" s="56"/>
    </row>
    <row r="137" spans="1:17">
      <c r="A137" s="56"/>
      <c r="B137" s="56"/>
      <c r="C137" s="56"/>
      <c r="D137" s="56"/>
      <c r="E137" s="56"/>
      <c r="F137" s="56"/>
      <c r="G137" s="56"/>
      <c r="H137" s="56"/>
      <c r="I137" s="56"/>
      <c r="J137" s="56"/>
      <c r="K137" s="56"/>
      <c r="L137" s="56"/>
      <c r="M137" s="56"/>
      <c r="N137" s="56"/>
      <c r="O137" s="56"/>
      <c r="P137" s="56"/>
      <c r="Q137" s="56"/>
    </row>
    <row r="138" spans="1:17">
      <c r="A138" s="56"/>
      <c r="B138" s="56"/>
      <c r="C138" s="56"/>
      <c r="D138" s="56"/>
      <c r="E138" s="56"/>
      <c r="F138" s="56"/>
      <c r="G138" s="56"/>
      <c r="H138" s="56"/>
      <c r="I138" s="56"/>
      <c r="J138" s="56"/>
      <c r="K138" s="56"/>
      <c r="L138" s="56"/>
      <c r="M138" s="56"/>
      <c r="N138" s="56"/>
      <c r="O138" s="56"/>
      <c r="P138" s="56"/>
      <c r="Q138" s="56"/>
    </row>
    <row r="139" spans="1:17">
      <c r="A139" s="56"/>
      <c r="B139" s="56"/>
      <c r="C139" s="56"/>
      <c r="D139" s="56"/>
      <c r="E139" s="56"/>
      <c r="F139" s="56"/>
      <c r="G139" s="56"/>
      <c r="H139" s="56"/>
      <c r="I139" s="56"/>
      <c r="J139" s="56"/>
      <c r="K139" s="56"/>
      <c r="L139" s="56"/>
      <c r="M139" s="56"/>
      <c r="N139" s="56"/>
      <c r="O139" s="56"/>
      <c r="P139" s="56"/>
      <c r="Q139" s="56"/>
    </row>
    <row r="140" spans="1:17">
      <c r="A140" s="56"/>
      <c r="B140" s="56"/>
      <c r="C140" s="56"/>
      <c r="D140" s="56"/>
      <c r="E140" s="56"/>
      <c r="F140" s="56"/>
      <c r="G140" s="56"/>
      <c r="H140" s="56"/>
      <c r="I140" s="56"/>
      <c r="J140" s="56"/>
      <c r="K140" s="56"/>
      <c r="L140" s="56"/>
      <c r="M140" s="56"/>
      <c r="N140" s="56"/>
      <c r="O140" s="56"/>
      <c r="P140" s="56"/>
      <c r="Q140" s="56"/>
    </row>
    <row r="141" spans="1:17">
      <c r="A141" s="56"/>
      <c r="B141" s="56"/>
      <c r="C141" s="56"/>
      <c r="D141" s="56"/>
      <c r="E141" s="56"/>
      <c r="F141" s="56"/>
      <c r="G141" s="56"/>
      <c r="H141" s="56"/>
      <c r="I141" s="56"/>
      <c r="J141" s="56"/>
      <c r="K141" s="56"/>
      <c r="L141" s="56"/>
      <c r="M141" s="56"/>
      <c r="N141" s="56"/>
      <c r="O141" s="56"/>
      <c r="P141" s="56"/>
      <c r="Q141" s="56"/>
    </row>
    <row r="142" spans="1:17">
      <c r="A142" s="56"/>
      <c r="B142" s="56"/>
      <c r="C142" s="56"/>
      <c r="D142" s="56"/>
      <c r="E142" s="56"/>
      <c r="F142" s="56"/>
      <c r="G142" s="56"/>
      <c r="H142" s="56"/>
      <c r="I142" s="56"/>
      <c r="J142" s="56"/>
      <c r="K142" s="56"/>
      <c r="L142" s="56"/>
      <c r="M142" s="56"/>
      <c r="N142" s="56"/>
      <c r="O142" s="56"/>
      <c r="P142" s="56"/>
      <c r="Q142" s="56"/>
    </row>
    <row r="143" spans="1:17">
      <c r="A143" s="56"/>
      <c r="B143" s="56"/>
      <c r="C143" s="56"/>
      <c r="D143" s="56"/>
      <c r="E143" s="56"/>
      <c r="F143" s="56"/>
      <c r="G143" s="56"/>
      <c r="H143" s="56"/>
      <c r="I143" s="56"/>
      <c r="J143" s="56"/>
      <c r="K143" s="56"/>
      <c r="L143" s="56"/>
      <c r="M143" s="56"/>
      <c r="N143" s="56"/>
      <c r="O143" s="56"/>
      <c r="P143" s="56"/>
      <c r="Q143" s="56"/>
    </row>
    <row r="144" spans="1:17">
      <c r="A144" s="56"/>
      <c r="B144" s="56"/>
      <c r="C144" s="56"/>
      <c r="D144" s="56"/>
      <c r="E144" s="56"/>
      <c r="F144" s="56"/>
      <c r="G144" s="56"/>
      <c r="H144" s="56"/>
      <c r="I144" s="56"/>
      <c r="J144" s="56"/>
      <c r="K144" s="56"/>
      <c r="L144" s="56"/>
      <c r="M144" s="56"/>
      <c r="N144" s="56"/>
      <c r="O144" s="56"/>
      <c r="P144" s="56"/>
      <c r="Q144" s="56"/>
    </row>
    <row r="145" spans="1:17">
      <c r="A145" s="56"/>
      <c r="B145" s="56"/>
      <c r="C145" s="56"/>
      <c r="D145" s="56"/>
      <c r="E145" s="56"/>
      <c r="F145" s="56"/>
      <c r="G145" s="56"/>
      <c r="H145" s="56"/>
      <c r="I145" s="56"/>
      <c r="J145" s="56"/>
      <c r="K145" s="56"/>
      <c r="L145" s="56"/>
      <c r="M145" s="56"/>
      <c r="N145" s="56"/>
      <c r="O145" s="56"/>
      <c r="P145" s="56"/>
      <c r="Q145" s="56"/>
    </row>
    <row r="146" spans="1:17">
      <c r="A146" s="56"/>
      <c r="B146" s="56"/>
      <c r="C146" s="56"/>
      <c r="D146" s="56"/>
      <c r="E146" s="56"/>
      <c r="F146" s="56"/>
      <c r="G146" s="56"/>
      <c r="H146" s="56"/>
      <c r="I146" s="56"/>
      <c r="J146" s="56"/>
      <c r="K146" s="56"/>
      <c r="L146" s="56"/>
      <c r="M146" s="56"/>
      <c r="N146" s="56"/>
      <c r="O146" s="56"/>
      <c r="P146" s="56"/>
      <c r="Q146" s="56"/>
    </row>
    <row r="147" spans="1:17">
      <c r="A147" s="56"/>
      <c r="B147" s="56"/>
      <c r="C147" s="56"/>
      <c r="D147" s="56"/>
      <c r="E147" s="56"/>
      <c r="F147" s="56"/>
      <c r="G147" s="56"/>
      <c r="H147" s="56"/>
      <c r="I147" s="56"/>
      <c r="J147" s="56"/>
      <c r="K147" s="56"/>
      <c r="L147" s="56"/>
      <c r="M147" s="56"/>
      <c r="N147" s="56"/>
      <c r="O147" s="56"/>
      <c r="P147" s="56"/>
      <c r="Q147" s="56"/>
    </row>
    <row r="148" spans="1:17">
      <c r="A148" s="56"/>
      <c r="B148" s="56"/>
      <c r="C148" s="56"/>
      <c r="D148" s="56"/>
      <c r="E148" s="56"/>
      <c r="F148" s="56"/>
      <c r="G148" s="56"/>
      <c r="H148" s="56"/>
      <c r="I148" s="56"/>
      <c r="J148" s="56"/>
      <c r="K148" s="56"/>
      <c r="L148" s="56"/>
      <c r="M148" s="56"/>
      <c r="N148" s="56"/>
      <c r="O148" s="56"/>
      <c r="P148" s="56"/>
      <c r="Q148" s="56"/>
    </row>
    <row r="149" spans="1:17">
      <c r="A149" s="56"/>
      <c r="B149" s="56"/>
      <c r="C149" s="56"/>
      <c r="D149" s="56"/>
      <c r="E149" s="56"/>
      <c r="F149" s="56"/>
      <c r="G149" s="56"/>
      <c r="H149" s="56"/>
      <c r="I149" s="56"/>
      <c r="J149" s="56"/>
      <c r="K149" s="56"/>
      <c r="L149" s="56"/>
      <c r="M149" s="56"/>
      <c r="N149" s="56"/>
      <c r="O149" s="56"/>
      <c r="P149" s="56"/>
      <c r="Q149" s="56"/>
    </row>
    <row r="150" spans="1:17">
      <c r="A150" s="56"/>
      <c r="B150" s="56"/>
      <c r="C150" s="56"/>
      <c r="D150" s="56"/>
      <c r="E150" s="56"/>
      <c r="F150" s="56"/>
      <c r="G150" s="56"/>
      <c r="H150" s="56"/>
      <c r="I150" s="56"/>
      <c r="J150" s="56"/>
      <c r="K150" s="56"/>
      <c r="L150" s="56"/>
      <c r="M150" s="56"/>
      <c r="N150" s="56"/>
      <c r="O150" s="56"/>
      <c r="P150" s="56"/>
      <c r="Q150" s="56"/>
    </row>
    <row r="151" spans="1:17">
      <c r="A151" s="56"/>
      <c r="B151" s="56"/>
      <c r="C151" s="56"/>
      <c r="D151" s="56"/>
      <c r="E151" s="56"/>
      <c r="F151" s="56"/>
      <c r="G151" s="56"/>
      <c r="H151" s="56"/>
      <c r="I151" s="56"/>
      <c r="J151" s="56"/>
      <c r="K151" s="56"/>
      <c r="L151" s="56"/>
      <c r="M151" s="56"/>
      <c r="N151" s="56"/>
      <c r="O151" s="56"/>
      <c r="P151" s="56"/>
      <c r="Q151" s="56"/>
    </row>
    <row r="152" spans="1:17">
      <c r="C152" s="56"/>
    </row>
    <row r="153" spans="1:17">
      <c r="C153" s="56"/>
    </row>
  </sheetData>
  <mergeCells count="3">
    <mergeCell ref="C4:I4"/>
    <mergeCell ref="C5:D5"/>
    <mergeCell ref="E5:I5"/>
  </mergeCells>
  <phoneticPr fontId="1" type="noConversion"/>
  <pageMargins left="0.78740157499999996" right="0.78740157499999996" top="0.984251969" bottom="0.984251969" header="0.4921259845" footer="0.492125984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I77"/>
  <sheetViews>
    <sheetView topLeftCell="A4" workbookViewId="0">
      <selection activeCell="C11" sqref="C11"/>
    </sheetView>
  </sheetViews>
  <sheetFormatPr defaultColWidth="10.90625" defaultRowHeight="12.5"/>
  <cols>
    <col min="1" max="1" width="3.26953125" customWidth="1"/>
    <col min="2" max="2" width="11" customWidth="1"/>
    <col min="3" max="3" width="25.26953125" bestFit="1" customWidth="1"/>
    <col min="4" max="4" width="64.81640625" style="103" customWidth="1"/>
    <col min="7" max="7" width="19.453125" bestFit="1" customWidth="1"/>
    <col min="8" max="8" width="18.1796875" bestFit="1" customWidth="1"/>
  </cols>
  <sheetData>
    <row r="1" spans="1:9" ht="13.5">
      <c r="B1" s="122"/>
      <c r="C1" s="122"/>
      <c r="D1" s="122"/>
      <c r="E1" s="122"/>
      <c r="F1" s="122"/>
      <c r="G1" s="122"/>
    </row>
    <row r="2" spans="1:9" ht="24" customHeight="1">
      <c r="A2" s="4"/>
      <c r="B2" s="121" t="str">
        <f>Intro!E5</f>
        <v>Mon Produit</v>
      </c>
      <c r="C2" s="121"/>
      <c r="D2" s="121"/>
      <c r="E2" s="121"/>
      <c r="F2" s="121"/>
      <c r="G2" s="121"/>
      <c r="H2" s="121"/>
    </row>
    <row r="3" spans="1:9" ht="37.5" customHeight="1" thickBot="1">
      <c r="A3" s="4"/>
      <c r="C3" s="67" t="s">
        <v>59</v>
      </c>
      <c r="E3" s="5" t="s">
        <v>36</v>
      </c>
      <c r="F3" s="6"/>
      <c r="G3" s="68" t="s">
        <v>35</v>
      </c>
      <c r="H3" s="7"/>
    </row>
    <row r="4" spans="1:9">
      <c r="A4" s="1"/>
      <c r="B4" s="31" t="s">
        <v>1</v>
      </c>
      <c r="C4" s="32" t="s">
        <v>38</v>
      </c>
      <c r="D4" s="104" t="s">
        <v>0</v>
      </c>
      <c r="E4" s="33" t="s">
        <v>37</v>
      </c>
      <c r="F4" s="33" t="s">
        <v>39</v>
      </c>
      <c r="G4" s="34" t="s">
        <v>40</v>
      </c>
    </row>
    <row r="5" spans="1:9">
      <c r="A5" s="1"/>
      <c r="B5" s="8">
        <v>1</v>
      </c>
      <c r="C5" s="100" t="s">
        <v>43</v>
      </c>
      <c r="D5" s="105" t="s">
        <v>64</v>
      </c>
      <c r="E5" s="101" t="s">
        <v>41</v>
      </c>
      <c r="F5" s="100">
        <v>10</v>
      </c>
      <c r="G5" s="102">
        <v>1</v>
      </c>
      <c r="H5" s="113" t="s">
        <v>122</v>
      </c>
    </row>
    <row r="6" spans="1:9" ht="20.5">
      <c r="A6" s="1"/>
      <c r="B6" s="8">
        <f>B5+1</f>
        <v>2</v>
      </c>
      <c r="C6" s="62" t="s">
        <v>65</v>
      </c>
      <c r="D6" s="63" t="s">
        <v>62</v>
      </c>
      <c r="E6" s="64" t="s">
        <v>42</v>
      </c>
      <c r="F6" s="3">
        <v>10</v>
      </c>
      <c r="G6" s="66">
        <v>1</v>
      </c>
      <c r="H6" s="113" t="s">
        <v>121</v>
      </c>
      <c r="I6" s="13"/>
    </row>
    <row r="7" spans="1:9" ht="20.5">
      <c r="B7" s="8">
        <f t="shared" ref="B7" si="0">B6+1</f>
        <v>3</v>
      </c>
      <c r="C7" s="62" t="s">
        <v>67</v>
      </c>
      <c r="D7" s="63" t="s">
        <v>68</v>
      </c>
      <c r="E7" s="64" t="s">
        <v>42</v>
      </c>
      <c r="F7" s="3">
        <v>10</v>
      </c>
      <c r="G7" s="66">
        <v>1</v>
      </c>
      <c r="H7" s="113" t="s">
        <v>121</v>
      </c>
    </row>
    <row r="8" spans="1:9">
      <c r="B8" s="8">
        <v>4</v>
      </c>
      <c r="C8" s="105" t="s">
        <v>63</v>
      </c>
      <c r="D8" s="63" t="s">
        <v>66</v>
      </c>
      <c r="E8" s="64" t="s">
        <v>42</v>
      </c>
      <c r="F8" s="3">
        <v>20</v>
      </c>
      <c r="G8" s="66">
        <v>1</v>
      </c>
      <c r="H8" s="110" t="s">
        <v>120</v>
      </c>
    </row>
    <row r="9" spans="1:9" ht="20.5">
      <c r="B9" s="8">
        <v>5</v>
      </c>
      <c r="C9" s="105" t="s">
        <v>69</v>
      </c>
      <c r="D9" s="106" t="s">
        <v>76</v>
      </c>
      <c r="E9" s="64" t="s">
        <v>42</v>
      </c>
      <c r="F9" s="3">
        <v>50</v>
      </c>
      <c r="G9" s="66">
        <v>1</v>
      </c>
      <c r="H9" s="114" t="s">
        <v>124</v>
      </c>
    </row>
    <row r="10" spans="1:9">
      <c r="A10" s="107" t="s">
        <v>72</v>
      </c>
      <c r="B10" s="8">
        <v>6</v>
      </c>
      <c r="C10" s="105" t="s">
        <v>113</v>
      </c>
      <c r="D10" s="105" t="s">
        <v>114</v>
      </c>
      <c r="E10" s="64" t="s">
        <v>42</v>
      </c>
      <c r="F10" s="3">
        <v>5</v>
      </c>
      <c r="G10" s="66">
        <v>2</v>
      </c>
      <c r="H10" s="108"/>
    </row>
    <row r="11" spans="1:9" ht="20.5">
      <c r="B11" s="8">
        <v>7</v>
      </c>
      <c r="C11" s="62" t="s">
        <v>70</v>
      </c>
      <c r="D11" s="105" t="s">
        <v>75</v>
      </c>
      <c r="E11" s="64" t="s">
        <v>42</v>
      </c>
      <c r="F11" s="3">
        <v>5</v>
      </c>
      <c r="G11" s="66">
        <v>2</v>
      </c>
      <c r="H11" s="108"/>
    </row>
    <row r="12" spans="1:9">
      <c r="A12" s="1"/>
      <c r="B12" s="8">
        <v>8</v>
      </c>
      <c r="C12" s="60" t="s">
        <v>119</v>
      </c>
      <c r="D12" s="105" t="s">
        <v>74</v>
      </c>
      <c r="E12" s="64" t="s">
        <v>42</v>
      </c>
      <c r="F12" s="61">
        <v>23</v>
      </c>
      <c r="G12" s="65">
        <v>2</v>
      </c>
      <c r="H12" s="109" t="s">
        <v>72</v>
      </c>
      <c r="I12" s="13"/>
    </row>
    <row r="13" spans="1:9">
      <c r="B13" s="8">
        <v>9</v>
      </c>
      <c r="C13" s="62" t="s">
        <v>71</v>
      </c>
      <c r="D13" s="105" t="s">
        <v>73</v>
      </c>
      <c r="E13" s="64" t="s">
        <v>42</v>
      </c>
      <c r="F13" s="3">
        <v>10</v>
      </c>
      <c r="G13" s="66">
        <v>2</v>
      </c>
      <c r="H13" s="108"/>
    </row>
    <row r="14" spans="1:9" ht="20.5">
      <c r="B14" s="8">
        <v>10</v>
      </c>
      <c r="C14" s="106" t="s">
        <v>81</v>
      </c>
      <c r="D14" s="105" t="s">
        <v>84</v>
      </c>
      <c r="E14" s="64" t="s">
        <v>42</v>
      </c>
      <c r="F14" s="3">
        <v>12</v>
      </c>
      <c r="G14" s="66">
        <v>2</v>
      </c>
      <c r="H14" s="108"/>
    </row>
    <row r="15" spans="1:9" ht="20.5">
      <c r="B15" s="8">
        <v>11</v>
      </c>
      <c r="C15" s="105" t="s">
        <v>82</v>
      </c>
      <c r="D15" s="105" t="s">
        <v>83</v>
      </c>
      <c r="E15" s="64" t="s">
        <v>42</v>
      </c>
      <c r="F15" s="3">
        <v>10</v>
      </c>
      <c r="G15" s="66">
        <v>2</v>
      </c>
      <c r="H15" s="108"/>
    </row>
    <row r="16" spans="1:9" ht="20.5">
      <c r="B16" s="8">
        <v>12</v>
      </c>
      <c r="C16" s="105" t="s">
        <v>85</v>
      </c>
      <c r="D16" s="105" t="s">
        <v>86</v>
      </c>
      <c r="E16" s="64" t="s">
        <v>42</v>
      </c>
      <c r="F16" s="3">
        <v>5</v>
      </c>
      <c r="G16" s="66">
        <v>2</v>
      </c>
      <c r="H16" s="108"/>
    </row>
    <row r="17" spans="1:8" ht="20.5">
      <c r="B17" s="8">
        <v>13</v>
      </c>
      <c r="C17" s="105" t="s">
        <v>87</v>
      </c>
      <c r="D17" s="105" t="s">
        <v>91</v>
      </c>
      <c r="E17" s="64" t="s">
        <v>42</v>
      </c>
      <c r="F17" s="3">
        <v>5</v>
      </c>
      <c r="G17" s="66">
        <v>2</v>
      </c>
      <c r="H17" s="108"/>
    </row>
    <row r="18" spans="1:8" ht="20.5">
      <c r="B18" s="8">
        <v>14</v>
      </c>
      <c r="C18" s="105" t="s">
        <v>77</v>
      </c>
      <c r="D18" s="105" t="s">
        <v>90</v>
      </c>
      <c r="E18" s="64" t="s">
        <v>42</v>
      </c>
      <c r="F18" s="3">
        <v>5</v>
      </c>
      <c r="G18" s="66">
        <v>2</v>
      </c>
      <c r="H18" s="108"/>
    </row>
    <row r="19" spans="1:8" ht="20.5">
      <c r="B19" s="8">
        <v>15</v>
      </c>
      <c r="C19" s="105" t="s">
        <v>88</v>
      </c>
      <c r="D19" s="105" t="s">
        <v>78</v>
      </c>
      <c r="E19" s="64" t="s">
        <v>42</v>
      </c>
      <c r="F19" s="3">
        <v>5</v>
      </c>
      <c r="G19" s="66">
        <v>2</v>
      </c>
      <c r="H19" s="108"/>
    </row>
    <row r="20" spans="1:8" ht="20.5">
      <c r="B20" s="8">
        <v>16</v>
      </c>
      <c r="C20" s="105" t="s">
        <v>89</v>
      </c>
      <c r="D20" s="105" t="s">
        <v>79</v>
      </c>
      <c r="E20" s="64" t="s">
        <v>42</v>
      </c>
      <c r="F20" s="3">
        <v>5</v>
      </c>
      <c r="G20" s="66">
        <v>2</v>
      </c>
      <c r="H20" s="108"/>
    </row>
    <row r="21" spans="1:8" ht="20.5">
      <c r="B21" s="8">
        <v>17</v>
      </c>
      <c r="C21" s="105" t="s">
        <v>93</v>
      </c>
      <c r="D21" s="105" t="s">
        <v>80</v>
      </c>
      <c r="E21" s="64" t="s">
        <v>42</v>
      </c>
      <c r="F21" s="3">
        <v>5</v>
      </c>
      <c r="G21" s="66">
        <v>2</v>
      </c>
      <c r="H21" s="108"/>
    </row>
    <row r="22" spans="1:8" ht="20.5">
      <c r="B22" s="8">
        <v>18</v>
      </c>
      <c r="C22" s="105" t="s">
        <v>92</v>
      </c>
      <c r="D22" s="105" t="s">
        <v>102</v>
      </c>
      <c r="E22" s="64" t="s">
        <v>42</v>
      </c>
      <c r="F22" s="3">
        <v>5</v>
      </c>
      <c r="G22" s="66">
        <v>2</v>
      </c>
      <c r="H22" s="108"/>
    </row>
    <row r="23" spans="1:8" ht="20.5">
      <c r="B23" s="8">
        <v>19</v>
      </c>
      <c r="C23" s="105" t="s">
        <v>94</v>
      </c>
      <c r="D23" s="105" t="s">
        <v>95</v>
      </c>
      <c r="E23" s="64" t="s">
        <v>42</v>
      </c>
      <c r="F23" s="3">
        <v>15</v>
      </c>
      <c r="G23" s="66">
        <v>3</v>
      </c>
      <c r="H23" s="111"/>
    </row>
    <row r="24" spans="1:8" ht="20.5">
      <c r="B24" s="8">
        <v>20</v>
      </c>
      <c r="C24" s="105" t="s">
        <v>97</v>
      </c>
      <c r="D24" s="105" t="s">
        <v>96</v>
      </c>
      <c r="E24" s="64" t="s">
        <v>42</v>
      </c>
      <c r="F24" s="3">
        <v>5</v>
      </c>
      <c r="G24" s="66">
        <v>3</v>
      </c>
      <c r="H24" s="111"/>
    </row>
    <row r="25" spans="1:8">
      <c r="B25" s="8">
        <v>21</v>
      </c>
      <c r="C25" s="105" t="s">
        <v>103</v>
      </c>
      <c r="D25" s="105" t="s">
        <v>104</v>
      </c>
      <c r="E25" s="64" t="s">
        <v>42</v>
      </c>
      <c r="F25" s="3">
        <v>5</v>
      </c>
      <c r="G25" s="66">
        <v>3</v>
      </c>
      <c r="H25" s="111"/>
    </row>
    <row r="26" spans="1:8">
      <c r="B26" s="8">
        <v>22</v>
      </c>
      <c r="C26" s="105" t="s">
        <v>105</v>
      </c>
      <c r="D26" s="105" t="s">
        <v>106</v>
      </c>
      <c r="E26" s="64" t="s">
        <v>42</v>
      </c>
      <c r="F26" s="3">
        <v>5</v>
      </c>
      <c r="G26" s="66">
        <v>3</v>
      </c>
      <c r="H26" s="111"/>
    </row>
    <row r="27" spans="1:8">
      <c r="B27" s="8">
        <v>23</v>
      </c>
      <c r="C27" s="105" t="s">
        <v>107</v>
      </c>
      <c r="D27" s="105" t="s">
        <v>108</v>
      </c>
      <c r="E27" s="64" t="s">
        <v>42</v>
      </c>
      <c r="F27" s="3">
        <v>5</v>
      </c>
      <c r="G27" s="66">
        <v>3</v>
      </c>
      <c r="H27" s="111"/>
    </row>
    <row r="28" spans="1:8" ht="20.5">
      <c r="B28" s="8">
        <v>24</v>
      </c>
      <c r="C28" s="105" t="s">
        <v>98</v>
      </c>
      <c r="D28" s="105" t="s">
        <v>101</v>
      </c>
      <c r="E28" s="64" t="s">
        <v>42</v>
      </c>
      <c r="F28" s="3">
        <v>5</v>
      </c>
      <c r="G28" s="66">
        <v>3</v>
      </c>
      <c r="H28" s="111"/>
    </row>
    <row r="29" spans="1:8">
      <c r="A29" s="107" t="s">
        <v>72</v>
      </c>
      <c r="B29" s="8">
        <v>25</v>
      </c>
      <c r="C29" s="105" t="s">
        <v>99</v>
      </c>
      <c r="D29" s="105" t="s">
        <v>100</v>
      </c>
      <c r="E29" s="64" t="s">
        <v>42</v>
      </c>
      <c r="F29" s="3">
        <v>30</v>
      </c>
      <c r="G29" s="66">
        <v>3</v>
      </c>
      <c r="H29" s="111"/>
    </row>
    <row r="30" spans="1:8">
      <c r="A30" s="107" t="s">
        <v>72</v>
      </c>
      <c r="B30" s="8">
        <v>26</v>
      </c>
      <c r="C30" s="105" t="s">
        <v>109</v>
      </c>
      <c r="D30" s="105" t="s">
        <v>110</v>
      </c>
      <c r="E30" s="64" t="s">
        <v>42</v>
      </c>
      <c r="F30" s="3">
        <v>10</v>
      </c>
      <c r="G30" s="66">
        <v>3</v>
      </c>
      <c r="H30" s="111"/>
    </row>
    <row r="31" spans="1:8" ht="20.5">
      <c r="A31" s="107" t="s">
        <v>72</v>
      </c>
      <c r="B31" s="8">
        <v>27</v>
      </c>
      <c r="C31" s="105" t="s">
        <v>111</v>
      </c>
      <c r="D31" s="105" t="s">
        <v>112</v>
      </c>
      <c r="E31" s="64" t="s">
        <v>42</v>
      </c>
      <c r="F31" s="3">
        <v>10</v>
      </c>
      <c r="G31" s="66">
        <v>3</v>
      </c>
      <c r="H31" s="111"/>
    </row>
    <row r="32" spans="1:8">
      <c r="A32" s="107" t="s">
        <v>72</v>
      </c>
      <c r="B32" s="8">
        <v>29</v>
      </c>
      <c r="C32" s="105" t="s">
        <v>115</v>
      </c>
      <c r="D32" s="105" t="s">
        <v>116</v>
      </c>
      <c r="E32" s="64" t="s">
        <v>42</v>
      </c>
      <c r="F32" s="3">
        <v>5</v>
      </c>
      <c r="G32" s="66">
        <v>3</v>
      </c>
      <c r="H32" s="111"/>
    </row>
    <row r="33" spans="1:8">
      <c r="A33" s="107" t="s">
        <v>72</v>
      </c>
      <c r="B33" s="8">
        <v>30</v>
      </c>
      <c r="C33" s="105" t="s">
        <v>117</v>
      </c>
      <c r="D33" s="105" t="s">
        <v>118</v>
      </c>
      <c r="E33" s="64" t="s">
        <v>42</v>
      </c>
      <c r="F33" s="3">
        <v>5</v>
      </c>
      <c r="G33" s="66">
        <v>3</v>
      </c>
      <c r="H33" s="111"/>
    </row>
    <row r="34" spans="1:8">
      <c r="B34" s="8"/>
      <c r="C34" s="105"/>
      <c r="D34" s="105"/>
      <c r="E34" s="64"/>
      <c r="F34" s="3"/>
      <c r="G34" s="66"/>
    </row>
    <row r="35" spans="1:8">
      <c r="B35" s="2"/>
      <c r="C35" s="62"/>
      <c r="D35" s="63"/>
      <c r="E35" s="64"/>
      <c r="F35" s="3"/>
      <c r="G35" s="66"/>
    </row>
    <row r="36" spans="1:8">
      <c r="A36" s="1"/>
      <c r="B36" s="2"/>
      <c r="C36" s="62"/>
      <c r="D36" s="63"/>
      <c r="E36" s="64"/>
      <c r="F36" s="3"/>
      <c r="G36" s="66"/>
    </row>
    <row r="37" spans="1:8">
      <c r="B37" s="2"/>
      <c r="C37" s="62"/>
      <c r="D37" s="63"/>
      <c r="E37" s="64"/>
      <c r="F37" s="3"/>
      <c r="G37" s="66"/>
    </row>
    <row r="38" spans="1:8">
      <c r="B38" s="2"/>
      <c r="C38" s="62"/>
      <c r="D38" s="63"/>
      <c r="E38" s="64"/>
      <c r="F38" s="3"/>
      <c r="G38" s="66"/>
    </row>
    <row r="39" spans="1:8">
      <c r="A39" s="1"/>
      <c r="B39" s="2"/>
      <c r="C39" s="62"/>
      <c r="D39" s="63"/>
      <c r="E39" s="64"/>
      <c r="F39" s="3"/>
      <c r="G39" s="66"/>
    </row>
    <row r="40" spans="1:8">
      <c r="B40" s="2"/>
      <c r="C40" s="62"/>
      <c r="D40" s="63"/>
      <c r="E40" s="64"/>
      <c r="F40" s="3"/>
      <c r="G40" s="66"/>
    </row>
    <row r="41" spans="1:8">
      <c r="B41" s="2"/>
      <c r="C41" s="62"/>
      <c r="D41" s="63"/>
      <c r="E41" s="64"/>
      <c r="F41" s="3"/>
      <c r="G41" s="66"/>
    </row>
    <row r="42" spans="1:8">
      <c r="B42" s="2"/>
      <c r="C42" s="62"/>
      <c r="D42" s="63"/>
      <c r="E42" s="64"/>
      <c r="F42" s="3"/>
      <c r="G42" s="66"/>
    </row>
    <row r="43" spans="1:8">
      <c r="B43" s="2"/>
      <c r="C43" s="62"/>
      <c r="D43" s="63"/>
      <c r="E43" s="64"/>
      <c r="F43" s="3"/>
      <c r="G43" s="66"/>
    </row>
    <row r="44" spans="1:8">
      <c r="B44" s="2"/>
      <c r="C44" s="62"/>
      <c r="D44" s="63"/>
      <c r="E44" s="64"/>
      <c r="F44" s="3"/>
      <c r="G44" s="66"/>
    </row>
    <row r="45" spans="1:8">
      <c r="B45" s="2"/>
      <c r="C45" s="62"/>
      <c r="D45" s="63"/>
      <c r="E45" s="64"/>
      <c r="F45" s="3"/>
      <c r="G45" s="66"/>
    </row>
    <row r="46" spans="1:8">
      <c r="B46" s="2"/>
      <c r="C46" s="62"/>
      <c r="D46" s="63"/>
      <c r="E46" s="64"/>
      <c r="F46" s="3"/>
      <c r="G46" s="66"/>
    </row>
    <row r="47" spans="1:8">
      <c r="B47" s="2"/>
      <c r="C47" s="62"/>
      <c r="D47" s="63"/>
      <c r="E47" s="64"/>
      <c r="F47" s="3"/>
      <c r="G47" s="66"/>
    </row>
    <row r="48" spans="1:8">
      <c r="B48" s="2"/>
      <c r="C48" s="62"/>
      <c r="D48" s="63"/>
      <c r="E48" s="64"/>
      <c r="F48" s="3"/>
      <c r="G48" s="66"/>
    </row>
    <row r="49" spans="2:7">
      <c r="B49" s="2"/>
      <c r="C49" s="62"/>
      <c r="D49" s="63"/>
      <c r="E49" s="64"/>
      <c r="F49" s="3"/>
      <c r="G49" s="66"/>
    </row>
    <row r="50" spans="2:7">
      <c r="B50" s="2"/>
      <c r="C50" s="62"/>
      <c r="D50" s="63"/>
      <c r="E50" s="64"/>
      <c r="F50" s="3"/>
      <c r="G50" s="66"/>
    </row>
    <row r="51" spans="2:7">
      <c r="B51" s="2"/>
      <c r="C51" s="62"/>
      <c r="D51" s="63"/>
      <c r="E51" s="64"/>
      <c r="F51" s="3"/>
      <c r="G51" s="66"/>
    </row>
    <row r="52" spans="2:7">
      <c r="B52" s="2"/>
      <c r="C52" s="62"/>
      <c r="D52" s="63"/>
      <c r="E52" s="64"/>
      <c r="F52" s="3"/>
      <c r="G52" s="66"/>
    </row>
    <row r="53" spans="2:7">
      <c r="B53" s="2"/>
      <c r="C53" s="62"/>
      <c r="D53" s="63"/>
      <c r="E53" s="64"/>
      <c r="F53" s="3"/>
      <c r="G53" s="66"/>
    </row>
    <row r="54" spans="2:7">
      <c r="B54" s="2"/>
      <c r="C54" s="62"/>
      <c r="D54" s="63"/>
      <c r="E54" s="64"/>
      <c r="F54" s="3"/>
      <c r="G54" s="66"/>
    </row>
    <row r="55" spans="2:7">
      <c r="B55" s="2"/>
      <c r="C55" s="62"/>
      <c r="D55" s="63"/>
      <c r="E55" s="64"/>
      <c r="F55" s="3"/>
      <c r="G55" s="66"/>
    </row>
    <row r="56" spans="2:7">
      <c r="B56" s="2"/>
      <c r="C56" s="62"/>
      <c r="D56" s="63"/>
      <c r="E56" s="64"/>
      <c r="F56" s="3"/>
      <c r="G56" s="66"/>
    </row>
    <row r="57" spans="2:7">
      <c r="B57" s="2"/>
      <c r="C57" s="62"/>
      <c r="D57" s="63"/>
      <c r="E57" s="64"/>
      <c r="F57" s="3"/>
      <c r="G57" s="66"/>
    </row>
    <row r="58" spans="2:7">
      <c r="B58" s="2"/>
      <c r="C58" s="62"/>
      <c r="D58" s="63"/>
      <c r="E58" s="64"/>
      <c r="F58" s="3"/>
      <c r="G58" s="66"/>
    </row>
    <row r="59" spans="2:7">
      <c r="B59" s="2"/>
      <c r="C59" s="62"/>
      <c r="D59" s="63"/>
      <c r="E59" s="64"/>
      <c r="F59" s="3"/>
      <c r="G59" s="66"/>
    </row>
    <row r="60" spans="2:7">
      <c r="B60" s="2"/>
      <c r="C60" s="62"/>
      <c r="D60" s="62"/>
      <c r="E60" s="64"/>
      <c r="F60" s="3"/>
      <c r="G60" s="66"/>
    </row>
    <row r="61" spans="2:7">
      <c r="B61" s="2"/>
      <c r="C61" s="62"/>
      <c r="D61" s="62"/>
      <c r="E61" s="64"/>
      <c r="F61" s="3"/>
      <c r="G61" s="66"/>
    </row>
    <row r="62" spans="2:7">
      <c r="B62" s="2"/>
      <c r="C62" s="62"/>
      <c r="D62" s="62"/>
      <c r="E62" s="64"/>
      <c r="F62" s="3"/>
      <c r="G62" s="66"/>
    </row>
    <row r="63" spans="2:7">
      <c r="B63" s="2"/>
      <c r="C63" s="62"/>
      <c r="D63" s="62"/>
      <c r="E63" s="64"/>
      <c r="F63" s="3"/>
      <c r="G63" s="66"/>
    </row>
    <row r="64" spans="2:7">
      <c r="B64" s="2"/>
      <c r="C64" s="62"/>
      <c r="D64" s="62"/>
      <c r="E64" s="64"/>
      <c r="F64" s="3"/>
      <c r="G64" s="66"/>
    </row>
    <row r="65" spans="2:7">
      <c r="B65" s="2"/>
      <c r="C65" s="62"/>
      <c r="D65" s="62"/>
      <c r="E65" s="64"/>
      <c r="F65" s="3"/>
      <c r="G65" s="66"/>
    </row>
    <row r="66" spans="2:7">
      <c r="B66" s="2"/>
      <c r="C66" s="62"/>
      <c r="D66" s="62"/>
      <c r="E66" s="64"/>
      <c r="F66" s="3"/>
      <c r="G66" s="66"/>
    </row>
    <row r="67" spans="2:7">
      <c r="C67" s="1"/>
    </row>
    <row r="68" spans="2:7">
      <c r="C68" s="1"/>
    </row>
    <row r="69" spans="2:7">
      <c r="C69" s="1"/>
    </row>
    <row r="70" spans="2:7">
      <c r="C70" s="1"/>
    </row>
    <row r="71" spans="2:7">
      <c r="C71" s="1"/>
    </row>
    <row r="72" spans="2:7">
      <c r="C72" s="1"/>
    </row>
    <row r="73" spans="2:7">
      <c r="C73" s="1"/>
    </row>
    <row r="74" spans="2:7">
      <c r="C74" s="1"/>
    </row>
    <row r="75" spans="2:7">
      <c r="C75" s="1"/>
    </row>
    <row r="76" spans="2:7">
      <c r="C76" s="1"/>
    </row>
    <row r="77" spans="2:7">
      <c r="C77" s="1"/>
    </row>
  </sheetData>
  <mergeCells count="2">
    <mergeCell ref="B2:H2"/>
    <mergeCell ref="B1:G1"/>
  </mergeCells>
  <phoneticPr fontId="1" type="noConversion"/>
  <pageMargins left="0.78740157499999996" right="0.78740157499999996" top="0.984251969" bottom="0.984251969" header="0.4921259845" footer="0.4921259845"/>
  <pageSetup paperSize="9"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9"/>
    <pageSetUpPr fitToPage="1"/>
  </sheetPr>
  <dimension ref="A1:CN78"/>
  <sheetViews>
    <sheetView tabSelected="1" zoomScale="86" zoomScaleNormal="86" workbookViewId="0">
      <pane ySplit="6" topLeftCell="A7" activePane="bottomLeft" state="frozen"/>
      <selection pane="bottomLeft" activeCell="O11" sqref="O11"/>
    </sheetView>
  </sheetViews>
  <sheetFormatPr defaultColWidth="9.1796875" defaultRowHeight="12.5"/>
  <cols>
    <col min="1" max="1" width="9.7265625" customWidth="1"/>
    <col min="2" max="2" width="29.453125" customWidth="1"/>
    <col min="3" max="3" width="17.26953125" customWidth="1"/>
    <col min="4" max="4" width="21.81640625" bestFit="1" customWidth="1"/>
    <col min="5" max="14" width="7" customWidth="1"/>
    <col min="15" max="15" width="30.81640625" customWidth="1"/>
  </cols>
  <sheetData>
    <row r="1" spans="1:92" ht="53.25" customHeight="1">
      <c r="A1" s="56"/>
      <c r="B1" s="72" t="s">
        <v>13</v>
      </c>
      <c r="C1" s="73" t="s">
        <v>45</v>
      </c>
      <c r="D1" s="74">
        <v>42814</v>
      </c>
      <c r="E1" s="56"/>
      <c r="F1" s="123"/>
      <c r="G1" s="123"/>
      <c r="H1" s="123"/>
      <c r="I1" s="123"/>
      <c r="J1" s="123"/>
      <c r="K1" s="123"/>
      <c r="L1" s="123"/>
      <c r="M1" s="123"/>
      <c r="N1" s="123"/>
      <c r="O1" s="56"/>
    </row>
    <row r="2" spans="1:92" ht="32.25" customHeight="1">
      <c r="A2" s="56"/>
      <c r="B2" s="72" t="str">
        <f>Intro!E5</f>
        <v>Mon Produit</v>
      </c>
      <c r="C2" s="73" t="s">
        <v>46</v>
      </c>
      <c r="D2" s="74">
        <f>WORKDAY(D1,10)</f>
        <v>42828</v>
      </c>
      <c r="E2" s="56"/>
      <c r="F2" s="56" t="s">
        <v>61</v>
      </c>
      <c r="G2" s="56"/>
      <c r="H2" s="56">
        <v>42819.192314814813</v>
      </c>
      <c r="I2" s="56"/>
      <c r="J2" s="56"/>
      <c r="K2" s="56"/>
      <c r="L2" s="56"/>
      <c r="M2" s="56"/>
      <c r="N2" s="56"/>
      <c r="O2" s="76"/>
      <c r="P2" s="13"/>
      <c r="Q2" s="13"/>
      <c r="R2" s="13"/>
      <c r="S2" s="13"/>
      <c r="T2" s="13"/>
      <c r="U2" s="13"/>
      <c r="V2" s="13"/>
      <c r="W2" s="13"/>
      <c r="X2" s="13"/>
      <c r="Y2" s="13"/>
      <c r="Z2" s="13"/>
    </row>
    <row r="3" spans="1:92" ht="17.25" customHeight="1">
      <c r="A3" s="56"/>
      <c r="B3" s="56"/>
      <c r="C3" s="73" t="s">
        <v>44</v>
      </c>
      <c r="D3" s="75">
        <f>D15</f>
        <v>50</v>
      </c>
      <c r="E3" s="56"/>
      <c r="F3" s="56"/>
      <c r="G3" s="56"/>
      <c r="H3" s="56"/>
      <c r="I3" s="56"/>
      <c r="J3" s="56"/>
      <c r="K3" s="56"/>
      <c r="L3" s="56"/>
      <c r="M3" s="56"/>
      <c r="N3" s="56"/>
      <c r="O3" s="76"/>
      <c r="P3" s="13"/>
      <c r="Q3" s="13"/>
      <c r="R3" s="13"/>
      <c r="S3" s="13"/>
      <c r="T3" s="13"/>
      <c r="U3" s="13"/>
      <c r="V3" s="13"/>
      <c r="W3" s="13"/>
      <c r="X3" s="13"/>
      <c r="Y3" s="13"/>
      <c r="Z3" s="13"/>
    </row>
    <row r="4" spans="1:92" ht="17.25" customHeight="1">
      <c r="A4" s="56"/>
      <c r="B4" s="56"/>
      <c r="C4" s="73" t="s">
        <v>55</v>
      </c>
      <c r="D4" s="124" t="s">
        <v>47</v>
      </c>
      <c r="E4" s="124"/>
      <c r="F4" s="124"/>
      <c r="G4" s="124"/>
      <c r="H4" s="124"/>
      <c r="I4" s="124"/>
      <c r="J4" s="124"/>
      <c r="K4" s="124"/>
      <c r="L4" s="124"/>
      <c r="M4" s="124"/>
      <c r="N4" s="124"/>
      <c r="O4" s="76"/>
      <c r="P4" s="13"/>
      <c r="Q4" s="13"/>
      <c r="R4" s="13"/>
      <c r="S4" s="13"/>
      <c r="T4" s="13"/>
      <c r="U4" s="13"/>
      <c r="V4" s="13"/>
      <c r="W4" s="13"/>
      <c r="X4" s="13"/>
      <c r="Y4" s="13"/>
      <c r="Z4" s="13"/>
    </row>
    <row r="5" spans="1:92" ht="17.25" customHeight="1" thickBot="1">
      <c r="A5" s="56"/>
      <c r="B5" s="56"/>
      <c r="C5" s="73"/>
      <c r="D5" s="74"/>
      <c r="E5" s="56"/>
      <c r="F5" s="56"/>
      <c r="G5" s="56"/>
      <c r="H5" s="56"/>
      <c r="I5" s="56"/>
      <c r="J5" s="56"/>
      <c r="K5" s="56"/>
      <c r="L5" s="56"/>
      <c r="M5" s="56"/>
      <c r="N5" s="56"/>
      <c r="O5" s="76"/>
      <c r="P5" s="13"/>
      <c r="Q5" s="13"/>
      <c r="R5" s="13"/>
      <c r="S5" s="13"/>
      <c r="T5" s="13"/>
      <c r="U5" s="13"/>
      <c r="V5" s="13"/>
      <c r="W5" s="13"/>
      <c r="X5" s="13"/>
      <c r="Y5" s="13"/>
      <c r="Z5" s="13"/>
    </row>
    <row r="6" spans="1:92" ht="32.25" customHeight="1" thickBot="1">
      <c r="A6" s="9" t="s">
        <v>2</v>
      </c>
      <c r="B6" s="10" t="s">
        <v>50</v>
      </c>
      <c r="C6" s="11" t="s">
        <v>49</v>
      </c>
      <c r="D6" s="12" t="s">
        <v>60</v>
      </c>
      <c r="E6" s="52">
        <v>39650</v>
      </c>
      <c r="F6" s="52">
        <v>39651</v>
      </c>
      <c r="G6" s="52">
        <v>39652</v>
      </c>
      <c r="H6" s="52">
        <v>39653</v>
      </c>
      <c r="I6" s="52">
        <v>39654</v>
      </c>
      <c r="J6" s="52">
        <v>39657</v>
      </c>
      <c r="K6" s="52">
        <v>39658</v>
      </c>
      <c r="L6" s="52">
        <v>39659</v>
      </c>
      <c r="M6" s="52">
        <v>39660</v>
      </c>
      <c r="N6" s="48">
        <v>39661</v>
      </c>
      <c r="O6" s="76"/>
      <c r="P6" s="47"/>
      <c r="Q6" s="47"/>
      <c r="R6" s="47"/>
      <c r="S6" s="47"/>
      <c r="T6" s="47"/>
      <c r="U6" s="47"/>
      <c r="V6" s="47"/>
      <c r="W6" s="47"/>
      <c r="X6" s="47"/>
      <c r="Y6" s="47"/>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c r="CN6" s="13"/>
    </row>
    <row r="7" spans="1:92" ht="21">
      <c r="A7" s="46" t="s">
        <v>125</v>
      </c>
      <c r="B7" s="14" t="s">
        <v>51</v>
      </c>
      <c r="C7" s="38">
        <v>10</v>
      </c>
      <c r="D7" s="36">
        <v>5</v>
      </c>
      <c r="E7" s="130">
        <v>5</v>
      </c>
      <c r="F7" s="50">
        <v>3</v>
      </c>
      <c r="G7" s="55">
        <v>2</v>
      </c>
      <c r="H7" s="51">
        <v>1</v>
      </c>
      <c r="I7" s="50">
        <v>0</v>
      </c>
      <c r="J7" s="50">
        <v>0</v>
      </c>
      <c r="K7" s="50">
        <v>0</v>
      </c>
      <c r="L7" s="50">
        <v>0</v>
      </c>
      <c r="M7" s="50">
        <v>0</v>
      </c>
      <c r="N7" s="53">
        <v>0</v>
      </c>
      <c r="O7" s="76"/>
      <c r="P7" s="13"/>
      <c r="Q7" s="13"/>
      <c r="R7" s="13"/>
      <c r="S7" s="13"/>
      <c r="T7" s="13"/>
      <c r="U7" s="13"/>
      <c r="V7" s="13"/>
      <c r="W7" s="13"/>
      <c r="X7" s="13"/>
      <c r="Y7" s="13"/>
      <c r="Z7" s="13"/>
    </row>
    <row r="8" spans="1:92" ht="13">
      <c r="A8" s="46" t="s">
        <v>20</v>
      </c>
      <c r="B8" s="14" t="s">
        <v>123</v>
      </c>
      <c r="C8" s="38">
        <v>110</v>
      </c>
      <c r="D8" s="42">
        <v>10</v>
      </c>
      <c r="E8" s="130">
        <v>10</v>
      </c>
      <c r="F8" s="15">
        <v>10</v>
      </c>
      <c r="G8" s="15">
        <v>10</v>
      </c>
      <c r="H8" s="15">
        <v>9</v>
      </c>
      <c r="I8" s="15">
        <v>7</v>
      </c>
      <c r="J8" s="15">
        <v>6</v>
      </c>
      <c r="K8" s="16">
        <v>5</v>
      </c>
      <c r="L8" s="16">
        <v>3</v>
      </c>
      <c r="M8" s="16">
        <v>0</v>
      </c>
      <c r="N8" s="16">
        <v>0</v>
      </c>
      <c r="O8" s="56"/>
    </row>
    <row r="9" spans="1:92" ht="13">
      <c r="A9" s="45" t="s">
        <v>19</v>
      </c>
      <c r="B9" s="115" t="s">
        <v>128</v>
      </c>
      <c r="C9" s="39">
        <v>150</v>
      </c>
      <c r="D9" s="43">
        <v>10</v>
      </c>
      <c r="E9" s="131">
        <v>10</v>
      </c>
      <c r="F9" s="16">
        <v>9</v>
      </c>
      <c r="G9" s="16">
        <v>8</v>
      </c>
      <c r="H9" s="18">
        <v>7</v>
      </c>
      <c r="I9" s="16">
        <v>6</v>
      </c>
      <c r="J9" s="16">
        <v>5</v>
      </c>
      <c r="K9" s="16">
        <v>5</v>
      </c>
      <c r="L9" s="16">
        <v>2</v>
      </c>
      <c r="M9" s="16">
        <v>0</v>
      </c>
      <c r="N9" s="16">
        <v>0</v>
      </c>
      <c r="O9" s="56"/>
    </row>
    <row r="10" spans="1:92" ht="13">
      <c r="A10" s="45" t="s">
        <v>18</v>
      </c>
      <c r="B10" s="19" t="s">
        <v>63</v>
      </c>
      <c r="C10" s="39">
        <v>20</v>
      </c>
      <c r="D10" s="44">
        <v>15</v>
      </c>
      <c r="E10" s="132">
        <v>15</v>
      </c>
      <c r="F10" s="16">
        <v>12</v>
      </c>
      <c r="G10" s="16">
        <v>8</v>
      </c>
      <c r="H10" s="18">
        <v>7</v>
      </c>
      <c r="I10" s="16">
        <v>5</v>
      </c>
      <c r="J10" s="16">
        <v>5</v>
      </c>
      <c r="K10" s="16">
        <v>4</v>
      </c>
      <c r="L10" s="16">
        <v>0</v>
      </c>
      <c r="M10" s="16">
        <v>0</v>
      </c>
      <c r="N10" s="16">
        <v>0</v>
      </c>
      <c r="O10" s="56"/>
    </row>
    <row r="11" spans="1:92" ht="13">
      <c r="A11" s="45" t="s">
        <v>21</v>
      </c>
      <c r="B11" s="115" t="s">
        <v>129</v>
      </c>
      <c r="C11" s="39">
        <v>10</v>
      </c>
      <c r="D11" s="43">
        <v>2</v>
      </c>
      <c r="E11" s="131">
        <v>2</v>
      </c>
      <c r="F11" s="16">
        <v>2</v>
      </c>
      <c r="G11" s="16">
        <v>2</v>
      </c>
      <c r="H11" s="18">
        <v>2</v>
      </c>
      <c r="I11" s="16">
        <v>1</v>
      </c>
      <c r="J11" s="16">
        <v>0</v>
      </c>
      <c r="K11" s="16">
        <v>0</v>
      </c>
      <c r="L11" s="16">
        <v>0</v>
      </c>
      <c r="M11" s="16">
        <v>0</v>
      </c>
      <c r="N11" s="16">
        <v>0</v>
      </c>
      <c r="O11" s="56"/>
    </row>
    <row r="12" spans="1:92" ht="13">
      <c r="A12" s="45" t="s">
        <v>126</v>
      </c>
      <c r="B12" s="115" t="s">
        <v>130</v>
      </c>
      <c r="C12" s="39">
        <v>50</v>
      </c>
      <c r="D12" s="43">
        <v>5</v>
      </c>
      <c r="E12" s="131">
        <v>5</v>
      </c>
      <c r="F12" s="16">
        <v>4</v>
      </c>
      <c r="G12" s="16">
        <v>3</v>
      </c>
      <c r="H12" s="18">
        <v>2</v>
      </c>
      <c r="I12" s="16">
        <v>1</v>
      </c>
      <c r="J12" s="16">
        <v>0</v>
      </c>
      <c r="K12" s="16">
        <v>5</v>
      </c>
      <c r="L12" s="16">
        <v>2</v>
      </c>
      <c r="M12" s="16">
        <v>0</v>
      </c>
      <c r="N12" s="16">
        <v>0</v>
      </c>
      <c r="O12" s="56"/>
    </row>
    <row r="13" spans="1:92" ht="13">
      <c r="A13" s="133" t="s">
        <v>127</v>
      </c>
      <c r="B13" s="115" t="s">
        <v>131</v>
      </c>
      <c r="C13" s="39">
        <v>10</v>
      </c>
      <c r="D13" s="43">
        <v>3</v>
      </c>
      <c r="E13" s="131">
        <v>3</v>
      </c>
      <c r="F13" s="16">
        <v>3</v>
      </c>
      <c r="G13" s="16">
        <v>3</v>
      </c>
      <c r="H13" s="18">
        <v>2</v>
      </c>
      <c r="I13" s="16">
        <v>1</v>
      </c>
      <c r="J13" s="16">
        <v>0</v>
      </c>
      <c r="K13" s="16">
        <v>0</v>
      </c>
      <c r="L13" s="16">
        <v>0</v>
      </c>
      <c r="M13" s="16">
        <v>0</v>
      </c>
      <c r="N13" s="16">
        <v>0</v>
      </c>
      <c r="O13" s="56"/>
    </row>
    <row r="14" spans="1:92" ht="13">
      <c r="A14" s="20"/>
      <c r="B14" s="21"/>
      <c r="C14" s="40"/>
      <c r="D14" s="37"/>
      <c r="E14" s="18"/>
      <c r="F14" s="18"/>
      <c r="G14" s="18"/>
      <c r="H14" s="18"/>
      <c r="I14" s="18"/>
      <c r="J14" s="16"/>
      <c r="K14" s="16"/>
      <c r="L14" s="16"/>
      <c r="M14" s="16"/>
      <c r="N14" s="16"/>
      <c r="O14" s="56"/>
    </row>
    <row r="15" spans="1:92" ht="13">
      <c r="A15" s="22"/>
      <c r="B15" s="23"/>
      <c r="C15" s="112"/>
      <c r="D15" s="58">
        <f t="shared" ref="D15:N15" si="0">SUM(D7:D14)</f>
        <v>50</v>
      </c>
      <c r="E15" s="58">
        <f t="shared" si="0"/>
        <v>50</v>
      </c>
      <c r="F15" s="58">
        <f t="shared" si="0"/>
        <v>43</v>
      </c>
      <c r="G15" s="58">
        <f t="shared" si="0"/>
        <v>36</v>
      </c>
      <c r="H15" s="58">
        <f t="shared" si="0"/>
        <v>30</v>
      </c>
      <c r="I15" s="58">
        <f t="shared" si="0"/>
        <v>21</v>
      </c>
      <c r="J15" s="58">
        <f t="shared" si="0"/>
        <v>16</v>
      </c>
      <c r="K15" s="58">
        <f t="shared" si="0"/>
        <v>19</v>
      </c>
      <c r="L15" s="58">
        <f t="shared" si="0"/>
        <v>7</v>
      </c>
      <c r="M15" s="58">
        <f t="shared" si="0"/>
        <v>0</v>
      </c>
      <c r="N15" s="58">
        <f t="shared" si="0"/>
        <v>0</v>
      </c>
      <c r="O15" s="77" t="s">
        <v>48</v>
      </c>
      <c r="P15" s="13"/>
      <c r="Q15" s="13"/>
      <c r="R15" s="13"/>
      <c r="S15" s="13"/>
      <c r="T15" s="13"/>
      <c r="U15" s="13"/>
      <c r="V15" s="13"/>
      <c r="W15" s="13"/>
      <c r="X15" s="13"/>
      <c r="Y15" s="13"/>
      <c r="Z15" s="13"/>
      <c r="AA15" s="13"/>
      <c r="AB15" s="13"/>
      <c r="AC15" s="13"/>
      <c r="AD15" s="13"/>
      <c r="AE15" s="13"/>
      <c r="AF15" s="13"/>
      <c r="AG15" s="13"/>
      <c r="AH15" s="13"/>
      <c r="AI15" s="13"/>
      <c r="AJ15" s="13"/>
      <c r="AK15" s="13"/>
      <c r="AL15" s="13"/>
      <c r="AM15" s="13"/>
      <c r="AN15" s="13"/>
      <c r="AO15" s="13"/>
      <c r="AP15" s="13"/>
      <c r="AQ15" s="13"/>
      <c r="AR15" s="13"/>
      <c r="AS15" s="13"/>
      <c r="AT15" s="13"/>
      <c r="AU15" s="13"/>
      <c r="AV15" s="13"/>
      <c r="AW15" s="13"/>
      <c r="AX15" s="13"/>
      <c r="AY15" s="13"/>
      <c r="AZ15" s="13"/>
      <c r="BA15" s="13"/>
      <c r="BB15" s="13"/>
      <c r="BC15" s="13"/>
      <c r="BD15" s="13"/>
      <c r="BE15" s="13"/>
      <c r="BF15" s="13"/>
      <c r="BG15" s="13"/>
      <c r="BH15" s="13"/>
      <c r="BI15" s="13"/>
      <c r="BJ15" s="13"/>
      <c r="BK15" s="13"/>
      <c r="BL15" s="13"/>
      <c r="BM15" s="13"/>
      <c r="BN15" s="13"/>
      <c r="BO15" s="13"/>
      <c r="BP15" s="13"/>
      <c r="BQ15" s="13"/>
      <c r="BR15" s="13"/>
      <c r="BS15" s="13"/>
      <c r="BT15" s="13"/>
      <c r="BU15" s="13"/>
      <c r="BV15" s="13"/>
      <c r="BW15" s="13"/>
      <c r="BX15" s="13"/>
      <c r="BY15" s="13"/>
      <c r="BZ15" s="13"/>
      <c r="CA15" s="13"/>
      <c r="CB15" s="13"/>
      <c r="CC15" s="13"/>
      <c r="CD15" s="13"/>
      <c r="CE15" s="13"/>
      <c r="CF15" s="13"/>
      <c r="CG15" s="13"/>
      <c r="CH15" s="13"/>
      <c r="CI15" s="13"/>
      <c r="CJ15" s="13"/>
      <c r="CK15" s="13"/>
      <c r="CL15" s="13"/>
      <c r="CM15" s="13"/>
      <c r="CN15" s="13"/>
    </row>
    <row r="16" spans="1:92" ht="13">
      <c r="A16" s="22"/>
      <c r="B16" s="23"/>
      <c r="C16" s="25"/>
      <c r="D16" s="26" t="s">
        <v>52</v>
      </c>
      <c r="E16" s="70">
        <f>'system sheet'!C10</f>
        <v>50</v>
      </c>
      <c r="F16" s="71">
        <f>'system sheet'!D10</f>
        <v>44.444444444444443</v>
      </c>
      <c r="G16" s="71">
        <f>'system sheet'!E10</f>
        <v>38.888888888888886</v>
      </c>
      <c r="H16" s="71">
        <f>'system sheet'!F10</f>
        <v>33.333333333333336</v>
      </c>
      <c r="I16" s="71">
        <f>'system sheet'!G10</f>
        <v>27.777777777777779</v>
      </c>
      <c r="J16" s="71">
        <f>'system sheet'!H10</f>
        <v>22.222222222222221</v>
      </c>
      <c r="K16" s="71">
        <f>'system sheet'!I10</f>
        <v>16.666666666666671</v>
      </c>
      <c r="L16" s="71">
        <f>'system sheet'!J10</f>
        <v>11.111111111111114</v>
      </c>
      <c r="M16" s="71">
        <f>'system sheet'!K10</f>
        <v>5.5555555555555571</v>
      </c>
      <c r="N16" s="71">
        <f>'system sheet'!L10</f>
        <v>0</v>
      </c>
      <c r="O16" s="78">
        <v>0</v>
      </c>
      <c r="P16" s="13"/>
      <c r="Q16" s="13"/>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c r="AP16" s="13"/>
      <c r="AQ16" s="13"/>
      <c r="AR16" s="13"/>
      <c r="AS16" s="13"/>
      <c r="AT16" s="13"/>
      <c r="AU16" s="13"/>
      <c r="AV16" s="13"/>
      <c r="AW16" s="13"/>
      <c r="AX16" s="13"/>
      <c r="AY16" s="13"/>
      <c r="AZ16" s="13"/>
      <c r="BA16" s="13"/>
      <c r="BB16" s="13"/>
      <c r="BC16" s="13"/>
      <c r="BD16" s="13"/>
      <c r="BE16" s="13"/>
      <c r="BF16" s="13"/>
      <c r="BG16" s="13"/>
      <c r="BH16" s="13"/>
      <c r="BI16" s="13"/>
      <c r="BJ16" s="13"/>
      <c r="BK16" s="13"/>
      <c r="BL16" s="13"/>
      <c r="BM16" s="13"/>
      <c r="BN16" s="13"/>
      <c r="BO16" s="13"/>
      <c r="BP16" s="13"/>
      <c r="BQ16" s="13"/>
      <c r="BR16" s="13"/>
      <c r="BS16" s="13"/>
      <c r="BT16" s="13"/>
      <c r="BU16" s="13"/>
      <c r="BV16" s="13"/>
      <c r="BW16" s="13"/>
      <c r="BX16" s="13"/>
      <c r="BY16" s="13"/>
      <c r="BZ16" s="13"/>
      <c r="CA16" s="13"/>
      <c r="CB16" s="13"/>
      <c r="CC16" s="13"/>
      <c r="CD16" s="13"/>
      <c r="CE16" s="13"/>
      <c r="CF16" s="13"/>
      <c r="CG16" s="13"/>
      <c r="CH16" s="13"/>
      <c r="CI16" s="13"/>
      <c r="CJ16" s="13"/>
      <c r="CK16" s="13"/>
      <c r="CL16" s="13"/>
      <c r="CM16" s="13"/>
      <c r="CN16" s="13"/>
    </row>
    <row r="17" spans="1:92">
      <c r="A17" s="22"/>
      <c r="B17" s="23"/>
      <c r="C17" s="25"/>
      <c r="D17" s="28"/>
      <c r="E17" s="29"/>
      <c r="F17" s="13"/>
      <c r="G17" s="13"/>
      <c r="H17" s="13"/>
      <c r="I17" s="13"/>
      <c r="J17" s="13"/>
      <c r="K17" s="13"/>
      <c r="L17" s="13"/>
      <c r="M17" s="13"/>
      <c r="N17" s="13"/>
      <c r="O17" s="76"/>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row>
    <row r="18" spans="1:92" ht="13">
      <c r="A18" s="79"/>
      <c r="B18" s="80"/>
      <c r="C18" s="76"/>
      <c r="D18" s="81"/>
      <c r="E18" s="82"/>
      <c r="F18" s="76"/>
      <c r="G18" s="76"/>
      <c r="H18" s="76"/>
      <c r="I18" s="76"/>
      <c r="J18" s="76"/>
      <c r="K18" s="76"/>
      <c r="L18" s="76"/>
      <c r="M18" s="76"/>
      <c r="N18" s="76"/>
      <c r="O18" s="76"/>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row>
    <row r="19" spans="1:92">
      <c r="A19" s="79"/>
      <c r="B19" s="83"/>
      <c r="C19" s="76"/>
      <c r="D19" s="81"/>
      <c r="E19" s="82"/>
      <c r="F19" s="76"/>
      <c r="G19" s="76"/>
      <c r="H19" s="76"/>
      <c r="I19" s="76"/>
      <c r="J19" s="76"/>
      <c r="K19" s="76"/>
      <c r="L19" s="76"/>
      <c r="M19" s="76"/>
      <c r="N19" s="76"/>
      <c r="O19" s="76"/>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row>
    <row r="20" spans="1:92">
      <c r="A20" s="79"/>
      <c r="B20" s="83"/>
      <c r="C20" s="76"/>
      <c r="D20" s="81"/>
      <c r="E20" s="82"/>
      <c r="F20" s="76"/>
      <c r="G20" s="76"/>
      <c r="H20" s="76"/>
      <c r="I20" s="76"/>
      <c r="J20" s="76"/>
      <c r="K20" s="76"/>
      <c r="L20" s="76"/>
      <c r="M20" s="76"/>
      <c r="N20" s="76"/>
      <c r="O20" s="76"/>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row>
    <row r="21" spans="1:92">
      <c r="A21" s="79"/>
      <c r="B21" s="83"/>
      <c r="C21" s="76"/>
      <c r="D21" s="81"/>
      <c r="E21" s="82"/>
      <c r="F21" s="76"/>
      <c r="G21" s="76"/>
      <c r="H21" s="76"/>
      <c r="I21" s="76"/>
      <c r="J21" s="76"/>
      <c r="K21" s="76"/>
      <c r="L21" s="76"/>
      <c r="M21" s="76"/>
      <c r="N21" s="76"/>
      <c r="O21" s="76"/>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row>
    <row r="22" spans="1:92">
      <c r="A22" s="79"/>
      <c r="B22" s="83"/>
      <c r="C22" s="76"/>
      <c r="D22" s="81"/>
      <c r="E22" s="82"/>
      <c r="F22" s="76"/>
      <c r="G22" s="76"/>
      <c r="H22" s="76"/>
      <c r="I22" s="76"/>
      <c r="J22" s="76"/>
      <c r="K22" s="76"/>
      <c r="L22" s="76"/>
      <c r="M22" s="76"/>
      <c r="N22" s="76"/>
      <c r="O22" s="76"/>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row>
    <row r="23" spans="1:92">
      <c r="A23" s="79"/>
      <c r="B23" s="83"/>
      <c r="C23" s="76"/>
      <c r="D23" s="81"/>
      <c r="E23" s="82"/>
      <c r="F23" s="76"/>
      <c r="G23" s="76"/>
      <c r="H23" s="76"/>
      <c r="I23" s="76"/>
      <c r="J23" s="76"/>
      <c r="K23" s="76"/>
      <c r="L23" s="76"/>
      <c r="M23" s="76"/>
      <c r="N23" s="76"/>
      <c r="O23" s="76"/>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row>
    <row r="24" spans="1:92">
      <c r="A24" s="79"/>
      <c r="B24" s="83"/>
      <c r="C24" s="76"/>
      <c r="D24" s="81"/>
      <c r="E24" s="82"/>
      <c r="F24" s="76"/>
      <c r="G24" s="76"/>
      <c r="H24" s="76"/>
      <c r="I24" s="76"/>
      <c r="J24" s="76"/>
      <c r="K24" s="76"/>
      <c r="L24" s="76"/>
      <c r="M24" s="76"/>
      <c r="N24" s="76"/>
      <c r="O24" s="76"/>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row>
    <row r="25" spans="1:92">
      <c r="A25" s="79"/>
      <c r="B25" s="83"/>
      <c r="C25" s="76"/>
      <c r="D25" s="81"/>
      <c r="E25" s="82"/>
      <c r="F25" s="76"/>
      <c r="G25" s="76"/>
      <c r="H25" s="76"/>
      <c r="I25" s="76"/>
      <c r="J25" s="76"/>
      <c r="K25" s="76"/>
      <c r="L25" s="76"/>
      <c r="M25" s="76"/>
      <c r="N25" s="76"/>
      <c r="O25" s="76"/>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row>
    <row r="26" spans="1:92">
      <c r="A26" s="79"/>
      <c r="B26" s="83"/>
      <c r="C26" s="76"/>
      <c r="D26" s="81"/>
      <c r="E26" s="82"/>
      <c r="F26" s="76"/>
      <c r="G26" s="76"/>
      <c r="H26" s="76"/>
      <c r="I26" s="76"/>
      <c r="J26" s="76"/>
      <c r="K26" s="76"/>
      <c r="L26" s="76"/>
      <c r="M26" s="76"/>
      <c r="N26" s="76"/>
      <c r="O26" s="76"/>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row>
    <row r="27" spans="1:92">
      <c r="A27" s="79"/>
      <c r="B27" s="83"/>
      <c r="C27" s="76"/>
      <c r="D27" s="81"/>
      <c r="E27" s="82"/>
      <c r="F27" s="76"/>
      <c r="G27" s="76"/>
      <c r="H27" s="76"/>
      <c r="I27" s="76"/>
      <c r="J27" s="76"/>
      <c r="K27" s="76"/>
      <c r="L27" s="76"/>
      <c r="M27" s="76"/>
      <c r="N27" s="76"/>
      <c r="O27" s="76"/>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row>
    <row r="28" spans="1:92">
      <c r="A28" s="79"/>
      <c r="B28" s="83"/>
      <c r="C28" s="76"/>
      <c r="D28" s="81"/>
      <c r="E28" s="82"/>
      <c r="F28" s="76"/>
      <c r="G28" s="76"/>
      <c r="H28" s="76"/>
      <c r="I28" s="76"/>
      <c r="J28" s="76"/>
      <c r="K28" s="76"/>
      <c r="L28" s="76"/>
      <c r="M28" s="76"/>
      <c r="N28" s="76"/>
      <c r="O28" s="76"/>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row>
    <row r="29" spans="1:92">
      <c r="A29" s="79"/>
      <c r="B29" s="83"/>
      <c r="C29" s="76"/>
      <c r="D29" s="81"/>
      <c r="E29" s="82"/>
      <c r="F29" s="76"/>
      <c r="G29" s="76"/>
      <c r="H29" s="76"/>
      <c r="I29" s="76"/>
      <c r="J29" s="76"/>
      <c r="K29" s="76"/>
      <c r="L29" s="76"/>
      <c r="M29" s="76"/>
      <c r="N29" s="76"/>
      <c r="O29" s="76"/>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row>
    <row r="30" spans="1:92">
      <c r="A30" s="79"/>
      <c r="B30" s="83"/>
      <c r="C30" s="76"/>
      <c r="D30" s="81"/>
      <c r="E30" s="82"/>
      <c r="F30" s="76"/>
      <c r="G30" s="76"/>
      <c r="H30" s="76"/>
      <c r="I30" s="76"/>
      <c r="J30" s="76"/>
      <c r="K30" s="76"/>
      <c r="L30" s="76"/>
      <c r="M30" s="76"/>
      <c r="N30" s="76"/>
      <c r="O30" s="76"/>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c r="CN30" s="13"/>
    </row>
    <row r="31" spans="1:92">
      <c r="A31" s="79"/>
      <c r="B31" s="83"/>
      <c r="C31" s="76"/>
      <c r="D31" s="81"/>
      <c r="E31" s="82"/>
      <c r="F31" s="76"/>
      <c r="G31" s="76"/>
      <c r="H31" s="76"/>
      <c r="I31" s="76"/>
      <c r="J31" s="76"/>
      <c r="K31" s="76"/>
      <c r="L31" s="76"/>
      <c r="M31" s="76"/>
      <c r="N31" s="76"/>
      <c r="O31" s="76"/>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c r="CN31" s="13"/>
    </row>
    <row r="32" spans="1:92">
      <c r="A32" s="79"/>
      <c r="B32" s="83"/>
      <c r="C32" s="76"/>
      <c r="D32" s="81"/>
      <c r="E32" s="82"/>
      <c r="F32" s="76"/>
      <c r="G32" s="76"/>
      <c r="H32" s="76"/>
      <c r="I32" s="76"/>
      <c r="J32" s="76"/>
      <c r="K32" s="76"/>
      <c r="L32" s="76"/>
      <c r="M32" s="76"/>
      <c r="N32" s="76"/>
      <c r="O32" s="76"/>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c r="CN32" s="13"/>
    </row>
    <row r="33" spans="1:92">
      <c r="A33" s="79"/>
      <c r="B33" s="83"/>
      <c r="C33" s="76"/>
      <c r="D33" s="81"/>
      <c r="E33" s="82"/>
      <c r="F33" s="76"/>
      <c r="G33" s="76"/>
      <c r="H33" s="76"/>
      <c r="I33" s="76"/>
      <c r="J33" s="76"/>
      <c r="K33" s="76"/>
      <c r="L33" s="76"/>
      <c r="M33" s="76"/>
      <c r="N33" s="76"/>
      <c r="O33" s="76"/>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c r="CN33" s="13"/>
    </row>
    <row r="34" spans="1:92">
      <c r="A34" s="79"/>
      <c r="B34" s="83"/>
      <c r="C34" s="76"/>
      <c r="D34" s="81"/>
      <c r="E34" s="82"/>
      <c r="F34" s="76"/>
      <c r="G34" s="76"/>
      <c r="H34" s="76"/>
      <c r="I34" s="76"/>
      <c r="J34" s="76"/>
      <c r="K34" s="76"/>
      <c r="L34" s="76"/>
      <c r="M34" s="76"/>
      <c r="N34" s="76"/>
      <c r="O34" s="76"/>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c r="CN34" s="13"/>
    </row>
    <row r="35" spans="1:92">
      <c r="A35" s="79"/>
      <c r="B35" s="83"/>
      <c r="C35" s="76"/>
      <c r="D35" s="81"/>
      <c r="E35" s="82"/>
      <c r="F35" s="76"/>
      <c r="G35" s="76"/>
      <c r="H35" s="76"/>
      <c r="I35" s="76"/>
      <c r="J35" s="76"/>
      <c r="K35" s="76"/>
      <c r="L35" s="76"/>
      <c r="M35" s="76"/>
      <c r="N35" s="76"/>
      <c r="O35" s="76"/>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c r="CF35" s="13"/>
      <c r="CG35" s="13"/>
      <c r="CH35" s="13"/>
      <c r="CI35" s="13"/>
      <c r="CJ35" s="13"/>
      <c r="CK35" s="13"/>
      <c r="CL35" s="13"/>
      <c r="CM35" s="13"/>
      <c r="CN35" s="13"/>
    </row>
    <row r="36" spans="1:92">
      <c r="A36" s="79"/>
      <c r="B36" s="83"/>
      <c r="C36" s="76"/>
      <c r="D36" s="81"/>
      <c r="E36" s="82"/>
      <c r="F36" s="76"/>
      <c r="G36" s="76"/>
      <c r="H36" s="76"/>
      <c r="I36" s="76"/>
      <c r="J36" s="76"/>
      <c r="K36" s="76"/>
      <c r="L36" s="76"/>
      <c r="M36" s="76"/>
      <c r="N36" s="76"/>
      <c r="O36" s="76"/>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c r="BJ36" s="13"/>
      <c r="BK36" s="13"/>
      <c r="BL36" s="13"/>
      <c r="BM36" s="13"/>
      <c r="BN36" s="13"/>
      <c r="BO36" s="13"/>
      <c r="BP36" s="13"/>
      <c r="BQ36" s="13"/>
      <c r="BR36" s="13"/>
      <c r="BS36" s="13"/>
      <c r="BT36" s="13"/>
      <c r="BU36" s="13"/>
      <c r="BV36" s="13"/>
      <c r="BW36" s="13"/>
      <c r="BX36" s="13"/>
      <c r="BY36" s="13"/>
      <c r="BZ36" s="13"/>
      <c r="CA36" s="13"/>
      <c r="CB36" s="13"/>
      <c r="CC36" s="13"/>
      <c r="CD36" s="13"/>
      <c r="CE36" s="13"/>
      <c r="CF36" s="13"/>
      <c r="CG36" s="13"/>
      <c r="CH36" s="13"/>
      <c r="CI36" s="13"/>
      <c r="CJ36" s="13"/>
      <c r="CK36" s="13"/>
      <c r="CL36" s="13"/>
      <c r="CM36" s="13"/>
      <c r="CN36" s="13"/>
    </row>
    <row r="37" spans="1:92">
      <c r="A37" s="79"/>
      <c r="B37" s="83"/>
      <c r="C37" s="76"/>
      <c r="D37" s="81"/>
      <c r="E37" s="76"/>
      <c r="F37" s="56"/>
      <c r="G37" s="56"/>
      <c r="H37" s="56"/>
      <c r="I37" s="56"/>
      <c r="J37" s="56"/>
      <c r="K37" s="56"/>
      <c r="L37" s="56"/>
      <c r="M37" s="56"/>
      <c r="N37" s="56"/>
      <c r="O37" s="56"/>
    </row>
    <row r="38" spans="1:92">
      <c r="A38" s="79"/>
      <c r="B38" s="76"/>
      <c r="C38" s="76"/>
      <c r="D38" s="81"/>
      <c r="E38" s="56"/>
      <c r="F38" s="56"/>
      <c r="G38" s="56"/>
      <c r="H38" s="56"/>
      <c r="I38" s="56"/>
      <c r="J38" s="56"/>
      <c r="K38" s="56"/>
      <c r="L38" s="56"/>
      <c r="M38" s="56"/>
      <c r="N38" s="56"/>
      <c r="O38" s="56"/>
    </row>
    <row r="39" spans="1:92">
      <c r="A39" s="79"/>
      <c r="B39" s="76"/>
      <c r="C39" s="76"/>
      <c r="D39" s="76"/>
      <c r="E39" s="56"/>
      <c r="F39" s="56"/>
      <c r="G39" s="56"/>
      <c r="H39" s="56"/>
      <c r="I39" s="56"/>
      <c r="J39" s="56"/>
      <c r="K39" s="56"/>
      <c r="L39" s="56"/>
      <c r="M39" s="56"/>
      <c r="N39" s="56"/>
      <c r="O39" s="56"/>
    </row>
    <row r="40" spans="1:92">
      <c r="A40" s="79"/>
      <c r="B40" s="76"/>
      <c r="C40" s="76"/>
      <c r="D40" s="76"/>
      <c r="E40" s="56"/>
      <c r="F40" s="56"/>
      <c r="G40" s="56"/>
      <c r="H40" s="56"/>
      <c r="I40" s="56"/>
      <c r="J40" s="56"/>
      <c r="K40" s="56"/>
      <c r="L40" s="56"/>
      <c r="M40" s="56"/>
      <c r="N40" s="56"/>
      <c r="O40" s="56"/>
    </row>
    <row r="41" spans="1:92">
      <c r="A41" s="79"/>
      <c r="B41" s="76"/>
      <c r="C41" s="76"/>
      <c r="D41" s="76"/>
      <c r="E41" s="56"/>
      <c r="F41" s="56"/>
      <c r="G41" s="56"/>
      <c r="H41" s="56"/>
      <c r="I41" s="56"/>
      <c r="J41" s="56"/>
      <c r="K41" s="56"/>
      <c r="L41" s="56"/>
      <c r="M41" s="56"/>
      <c r="N41" s="56"/>
      <c r="O41" s="56"/>
    </row>
    <row r="42" spans="1:92">
      <c r="A42" s="79"/>
      <c r="B42" s="76"/>
      <c r="C42" s="76"/>
      <c r="D42" s="76"/>
      <c r="E42" s="56"/>
      <c r="F42" s="56"/>
      <c r="G42" s="56"/>
      <c r="H42" s="56"/>
      <c r="I42" s="56"/>
      <c r="J42" s="56"/>
      <c r="K42" s="56"/>
      <c r="L42" s="56"/>
      <c r="M42" s="56"/>
      <c r="N42" s="56"/>
      <c r="O42" s="56"/>
    </row>
    <row r="43" spans="1:92">
      <c r="A43" s="79"/>
      <c r="B43" s="76"/>
      <c r="C43" s="76"/>
      <c r="D43" s="76"/>
      <c r="E43" s="56"/>
      <c r="F43" s="56"/>
      <c r="G43" s="56"/>
      <c r="H43" s="56"/>
      <c r="I43" s="56"/>
      <c r="J43" s="56"/>
      <c r="K43" s="56"/>
      <c r="L43" s="56"/>
      <c r="M43" s="56"/>
      <c r="N43" s="56"/>
      <c r="O43" s="56"/>
    </row>
    <row r="44" spans="1:92">
      <c r="A44" s="79"/>
      <c r="B44" s="76"/>
      <c r="C44" s="76"/>
      <c r="D44" s="76"/>
      <c r="E44" s="56"/>
      <c r="F44" s="56"/>
      <c r="G44" s="56"/>
      <c r="H44" s="56"/>
      <c r="I44" s="56"/>
      <c r="J44" s="56"/>
      <c r="K44" s="56"/>
      <c r="L44" s="56"/>
      <c r="M44" s="56"/>
      <c r="N44" s="56"/>
      <c r="O44" s="56"/>
    </row>
    <row r="45" spans="1:92">
      <c r="A45" s="84"/>
      <c r="B45" s="76"/>
      <c r="C45" s="76"/>
      <c r="D45" s="76"/>
      <c r="E45" s="56"/>
      <c r="F45" s="56"/>
      <c r="G45" s="56"/>
      <c r="H45" s="56"/>
      <c r="I45" s="56"/>
      <c r="J45" s="56"/>
      <c r="K45" s="56"/>
      <c r="L45" s="56"/>
      <c r="M45" s="56"/>
      <c r="N45" s="56"/>
      <c r="O45" s="56"/>
    </row>
    <row r="46" spans="1:92">
      <c r="A46" s="84"/>
      <c r="B46" s="76"/>
      <c r="C46" s="76"/>
      <c r="D46" s="76"/>
      <c r="E46" s="56"/>
      <c r="F46" s="56"/>
      <c r="G46" s="56"/>
      <c r="H46" s="56"/>
      <c r="I46" s="56"/>
      <c r="J46" s="56"/>
      <c r="K46" s="56"/>
      <c r="L46" s="56"/>
      <c r="M46" s="56"/>
      <c r="N46" s="56"/>
      <c r="O46" s="56"/>
    </row>
    <row r="47" spans="1:92">
      <c r="A47" s="76"/>
      <c r="B47" s="76"/>
      <c r="C47" s="76"/>
      <c r="D47" s="76"/>
      <c r="E47" s="56"/>
      <c r="F47" s="56"/>
      <c r="G47" s="56"/>
      <c r="H47" s="56"/>
      <c r="I47" s="56"/>
      <c r="J47" s="56"/>
      <c r="K47" s="56"/>
      <c r="L47" s="56"/>
      <c r="M47" s="56"/>
      <c r="N47" s="56"/>
      <c r="O47" s="56"/>
    </row>
    <row r="48" spans="1:92">
      <c r="A48" s="76"/>
      <c r="B48" s="76"/>
      <c r="C48" s="76"/>
      <c r="D48" s="76"/>
      <c r="E48" s="56"/>
      <c r="F48" s="56"/>
      <c r="G48" s="56"/>
      <c r="H48" s="56"/>
      <c r="I48" s="56"/>
      <c r="J48" s="56"/>
      <c r="K48" s="56"/>
      <c r="L48" s="56"/>
      <c r="M48" s="56"/>
      <c r="N48" s="56"/>
      <c r="O48" s="56"/>
    </row>
    <row r="49" spans="1:15">
      <c r="A49" s="76"/>
      <c r="B49" s="76"/>
      <c r="C49" s="76"/>
      <c r="D49" s="76"/>
      <c r="E49" s="56"/>
      <c r="F49" s="56"/>
      <c r="G49" s="56"/>
      <c r="H49" s="56"/>
      <c r="I49" s="56"/>
      <c r="J49" s="56"/>
      <c r="K49" s="56"/>
      <c r="L49" s="56"/>
      <c r="M49" s="56"/>
      <c r="N49" s="56"/>
      <c r="O49" s="56"/>
    </row>
    <row r="50" spans="1:15">
      <c r="A50" s="76"/>
      <c r="B50" s="76"/>
      <c r="C50" s="76"/>
      <c r="D50" s="76"/>
      <c r="E50" s="56"/>
      <c r="F50" s="56"/>
      <c r="G50" s="56"/>
      <c r="H50" s="56"/>
      <c r="I50" s="56"/>
      <c r="J50" s="56"/>
      <c r="K50" s="56"/>
      <c r="L50" s="56"/>
      <c r="M50" s="56"/>
      <c r="N50" s="56"/>
      <c r="O50" s="56"/>
    </row>
    <row r="51" spans="1:15">
      <c r="A51" s="76"/>
      <c r="B51" s="76"/>
      <c r="C51" s="76"/>
      <c r="D51" s="76"/>
      <c r="E51" s="56"/>
      <c r="F51" s="56"/>
      <c r="G51" s="56"/>
      <c r="H51" s="56"/>
      <c r="I51" s="56"/>
      <c r="J51" s="56"/>
      <c r="K51" s="56"/>
      <c r="L51" s="56"/>
      <c r="M51" s="56"/>
      <c r="N51" s="56"/>
      <c r="O51" s="56"/>
    </row>
    <row r="52" spans="1:15">
      <c r="A52" s="76"/>
      <c r="B52" s="76"/>
      <c r="C52" s="76"/>
      <c r="D52" s="76"/>
      <c r="E52" s="56"/>
      <c r="F52" s="56"/>
      <c r="G52" s="56"/>
      <c r="H52" s="56"/>
      <c r="I52" s="56"/>
      <c r="J52" s="56"/>
      <c r="K52" s="56"/>
      <c r="L52" s="56"/>
      <c r="M52" s="56"/>
      <c r="N52" s="56"/>
      <c r="O52" s="56"/>
    </row>
    <row r="53" spans="1:15">
      <c r="A53" s="76"/>
      <c r="B53" s="76"/>
      <c r="C53" s="76"/>
      <c r="D53" s="76"/>
      <c r="E53" s="56"/>
      <c r="F53" s="56"/>
      <c r="G53" s="56"/>
      <c r="H53" s="56"/>
      <c r="I53" s="56"/>
      <c r="J53" s="56"/>
      <c r="K53" s="56"/>
      <c r="L53" s="56"/>
      <c r="M53" s="56"/>
      <c r="N53" s="56"/>
      <c r="O53" s="56"/>
    </row>
    <row r="54" spans="1:15">
      <c r="A54" s="76"/>
      <c r="B54" s="76"/>
      <c r="C54" s="76"/>
      <c r="D54" s="76"/>
      <c r="E54" s="56"/>
      <c r="F54" s="56"/>
      <c r="G54" s="56"/>
      <c r="H54" s="56"/>
      <c r="I54" s="56"/>
      <c r="J54" s="56"/>
      <c r="K54" s="56"/>
      <c r="L54" s="56"/>
      <c r="M54" s="56"/>
      <c r="N54" s="56"/>
      <c r="O54" s="56"/>
    </row>
    <row r="55" spans="1:15">
      <c r="A55" s="76"/>
      <c r="B55" s="76"/>
      <c r="C55" s="76"/>
      <c r="D55" s="76"/>
      <c r="E55" s="56"/>
      <c r="F55" s="56"/>
      <c r="G55" s="56"/>
      <c r="H55" s="56"/>
      <c r="I55" s="56"/>
      <c r="J55" s="56"/>
      <c r="K55" s="56"/>
      <c r="L55" s="56"/>
      <c r="M55" s="56"/>
      <c r="N55" s="56"/>
      <c r="O55" s="56"/>
    </row>
    <row r="56" spans="1:15">
      <c r="A56" s="76"/>
      <c r="B56" s="76"/>
      <c r="C56" s="76"/>
      <c r="D56" s="76"/>
      <c r="E56" s="56"/>
      <c r="F56" s="56"/>
      <c r="G56" s="56"/>
      <c r="H56" s="56"/>
      <c r="I56" s="56"/>
      <c r="J56" s="56"/>
      <c r="K56" s="56"/>
      <c r="L56" s="56"/>
      <c r="M56" s="56"/>
      <c r="N56" s="56"/>
      <c r="O56" s="56"/>
    </row>
    <row r="57" spans="1:15">
      <c r="A57" s="76"/>
      <c r="B57" s="76"/>
      <c r="C57" s="76"/>
      <c r="D57" s="76"/>
      <c r="E57" s="56"/>
      <c r="F57" s="56"/>
      <c r="G57" s="56"/>
      <c r="H57" s="56"/>
      <c r="I57" s="56"/>
      <c r="J57" s="56"/>
      <c r="K57" s="56"/>
      <c r="L57" s="56"/>
      <c r="M57" s="56"/>
      <c r="N57" s="56"/>
      <c r="O57" s="56"/>
    </row>
    <row r="58" spans="1:15">
      <c r="A58" s="76"/>
      <c r="B58" s="76"/>
      <c r="C58" s="76"/>
      <c r="D58" s="76"/>
      <c r="E58" s="56"/>
      <c r="F58" s="56"/>
      <c r="G58" s="56"/>
      <c r="H58" s="56"/>
      <c r="I58" s="56"/>
      <c r="J58" s="56"/>
      <c r="K58" s="56"/>
      <c r="L58" s="56"/>
      <c r="M58" s="56"/>
      <c r="N58" s="56"/>
      <c r="O58" s="56"/>
    </row>
    <row r="59" spans="1:15">
      <c r="A59" s="76"/>
      <c r="B59" s="76"/>
      <c r="C59" s="76"/>
      <c r="D59" s="76"/>
      <c r="E59" s="56"/>
      <c r="F59" s="56"/>
      <c r="G59" s="56"/>
      <c r="H59" s="56"/>
      <c r="I59" s="56"/>
      <c r="J59" s="56"/>
      <c r="K59" s="56"/>
      <c r="L59" s="56"/>
      <c r="M59" s="56"/>
      <c r="N59" s="56"/>
      <c r="O59" s="56"/>
    </row>
    <row r="60" spans="1:15">
      <c r="A60" s="76"/>
      <c r="B60" s="76"/>
      <c r="C60" s="76"/>
      <c r="D60" s="76"/>
      <c r="E60" s="56"/>
      <c r="F60" s="56"/>
      <c r="G60" s="56"/>
      <c r="H60" s="56"/>
      <c r="I60" s="56"/>
      <c r="J60" s="56"/>
      <c r="K60" s="56"/>
      <c r="L60" s="56"/>
      <c r="M60" s="56"/>
      <c r="N60" s="56"/>
      <c r="O60" s="56"/>
    </row>
    <row r="61" spans="1:15">
      <c r="A61" s="76"/>
      <c r="B61" s="76"/>
      <c r="C61" s="76"/>
      <c r="D61" s="76"/>
      <c r="E61" s="56"/>
      <c r="F61" s="56"/>
      <c r="G61" s="56"/>
      <c r="H61" s="56"/>
      <c r="I61" s="56"/>
      <c r="J61" s="56"/>
      <c r="K61" s="56"/>
      <c r="L61" s="56"/>
      <c r="M61" s="56"/>
      <c r="N61" s="56"/>
      <c r="O61" s="56"/>
    </row>
    <row r="62" spans="1:15">
      <c r="A62" s="76"/>
      <c r="B62" s="76"/>
      <c r="C62" s="76"/>
      <c r="D62" s="76"/>
      <c r="E62" s="56"/>
      <c r="F62" s="56"/>
      <c r="G62" s="56"/>
      <c r="H62" s="56"/>
      <c r="I62" s="56"/>
      <c r="J62" s="56"/>
      <c r="K62" s="56"/>
      <c r="L62" s="56"/>
      <c r="M62" s="56"/>
      <c r="N62" s="56"/>
      <c r="O62" s="56"/>
    </row>
    <row r="63" spans="1:15">
      <c r="A63" s="76"/>
      <c r="B63" s="76"/>
      <c r="C63" s="76"/>
      <c r="D63" s="76"/>
      <c r="E63" s="56"/>
      <c r="F63" s="56"/>
      <c r="G63" s="56"/>
      <c r="H63" s="56"/>
      <c r="I63" s="56"/>
      <c r="J63" s="56"/>
      <c r="K63" s="56"/>
      <c r="L63" s="56"/>
      <c r="M63" s="56"/>
      <c r="N63" s="56"/>
      <c r="O63" s="56"/>
    </row>
    <row r="64" spans="1:15">
      <c r="A64" s="76"/>
      <c r="B64" s="76"/>
      <c r="C64" s="76"/>
      <c r="D64" s="76"/>
      <c r="E64" s="56"/>
      <c r="F64" s="56"/>
      <c r="G64" s="56"/>
      <c r="H64" s="56"/>
      <c r="I64" s="56"/>
      <c r="J64" s="56"/>
      <c r="K64" s="56"/>
      <c r="L64" s="56"/>
      <c r="M64" s="56"/>
      <c r="N64" s="56"/>
      <c r="O64" s="56"/>
    </row>
    <row r="65" spans="1:15">
      <c r="A65" s="76"/>
      <c r="B65" s="76"/>
      <c r="C65" s="76"/>
      <c r="D65" s="76"/>
      <c r="E65" s="56"/>
      <c r="F65" s="56"/>
      <c r="G65" s="56"/>
      <c r="H65" s="56"/>
      <c r="I65" s="56"/>
      <c r="J65" s="56"/>
      <c r="K65" s="56"/>
      <c r="L65" s="56"/>
      <c r="M65" s="56"/>
      <c r="N65" s="56"/>
      <c r="O65" s="56"/>
    </row>
    <row r="66" spans="1:15">
      <c r="A66" s="76"/>
      <c r="B66" s="76"/>
      <c r="C66" s="76"/>
      <c r="D66" s="76"/>
      <c r="E66" s="56"/>
      <c r="F66" s="56"/>
      <c r="G66" s="56"/>
      <c r="H66" s="56"/>
      <c r="I66" s="56"/>
      <c r="J66" s="56"/>
      <c r="K66" s="56"/>
      <c r="L66" s="56"/>
      <c r="M66" s="56"/>
      <c r="N66" s="56"/>
      <c r="O66" s="56"/>
    </row>
    <row r="67" spans="1:15">
      <c r="A67" s="76"/>
      <c r="B67" s="76"/>
      <c r="C67" s="76"/>
      <c r="D67" s="76"/>
      <c r="E67" s="56"/>
      <c r="F67" s="56"/>
      <c r="G67" s="56"/>
      <c r="H67" s="56"/>
      <c r="I67" s="56"/>
      <c r="J67" s="56"/>
      <c r="K67" s="56"/>
      <c r="L67" s="56"/>
      <c r="M67" s="56"/>
      <c r="N67" s="56"/>
      <c r="O67" s="56"/>
    </row>
    <row r="68" spans="1:15">
      <c r="A68" s="76"/>
      <c r="B68" s="76"/>
      <c r="C68" s="76"/>
      <c r="D68" s="76"/>
      <c r="E68" s="56"/>
      <c r="F68" s="56"/>
      <c r="G68" s="56"/>
      <c r="H68" s="56"/>
      <c r="I68" s="56"/>
      <c r="J68" s="56"/>
      <c r="K68" s="56"/>
      <c r="L68" s="56"/>
      <c r="M68" s="56"/>
      <c r="N68" s="56"/>
      <c r="O68" s="56"/>
    </row>
    <row r="69" spans="1:15">
      <c r="A69" s="25"/>
      <c r="B69" s="25"/>
      <c r="C69" s="25"/>
      <c r="D69" s="25"/>
    </row>
    <row r="70" spans="1:15">
      <c r="A70" s="25"/>
      <c r="B70" s="25"/>
      <c r="C70" s="25"/>
      <c r="D70" s="25"/>
    </row>
    <row r="71" spans="1:15">
      <c r="A71" s="25"/>
      <c r="B71" s="25"/>
      <c r="C71" s="25"/>
      <c r="D71" s="25"/>
    </row>
    <row r="72" spans="1:15">
      <c r="A72" s="25"/>
      <c r="B72" s="25"/>
      <c r="C72" s="25"/>
      <c r="D72" s="25"/>
    </row>
    <row r="73" spans="1:15">
      <c r="A73" s="25"/>
      <c r="B73" s="25"/>
      <c r="C73" s="25"/>
      <c r="D73" s="25"/>
    </row>
    <row r="74" spans="1:15">
      <c r="A74" s="25"/>
      <c r="B74" s="25"/>
      <c r="C74" s="25"/>
      <c r="D74" s="25"/>
    </row>
    <row r="75" spans="1:15">
      <c r="A75" s="25"/>
      <c r="B75" s="25"/>
      <c r="C75" s="25"/>
      <c r="D75" s="25"/>
    </row>
    <row r="76" spans="1:15">
      <c r="A76" s="25"/>
      <c r="B76" s="25"/>
      <c r="C76" s="25"/>
      <c r="D76" s="25"/>
    </row>
    <row r="78" spans="1:15" ht="14.25" customHeight="1"/>
  </sheetData>
  <autoFilter ref="A6:E15"/>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9"/>
    <pageSetUpPr fitToPage="1"/>
  </sheetPr>
  <dimension ref="A1:CN80"/>
  <sheetViews>
    <sheetView workbookViewId="0">
      <pane ySplit="6" topLeftCell="A7" activePane="bottomLeft" state="frozen"/>
      <selection pane="bottomLeft" activeCell="E1" sqref="E1"/>
    </sheetView>
  </sheetViews>
  <sheetFormatPr defaultColWidth="9.1796875" defaultRowHeight="12.5"/>
  <cols>
    <col min="1" max="1" width="9.7265625" customWidth="1"/>
    <col min="2" max="2" width="29.453125" customWidth="1"/>
    <col min="3" max="3" width="17.26953125" customWidth="1"/>
    <col min="4" max="4" width="21.81640625" bestFit="1" customWidth="1"/>
    <col min="5" max="14" width="7" customWidth="1"/>
    <col min="15" max="15" width="30.81640625" customWidth="1"/>
  </cols>
  <sheetData>
    <row r="1" spans="1:92" ht="53.25" customHeight="1">
      <c r="A1" s="56"/>
      <c r="B1" s="72" t="s">
        <v>14</v>
      </c>
      <c r="C1" s="73" t="s">
        <v>54</v>
      </c>
      <c r="D1" s="74">
        <v>42514</v>
      </c>
      <c r="E1" s="56"/>
      <c r="F1" s="123"/>
      <c r="G1" s="123"/>
      <c r="H1" s="123"/>
      <c r="I1" s="123"/>
      <c r="J1" s="123"/>
      <c r="K1" s="123"/>
      <c r="L1" s="123"/>
      <c r="M1" s="123"/>
      <c r="N1" s="123"/>
    </row>
    <row r="2" spans="1:92" ht="32.25" customHeight="1">
      <c r="A2" s="56"/>
      <c r="B2" s="72" t="str">
        <f>Intro!E5</f>
        <v>Mon Produit</v>
      </c>
      <c r="C2" s="73" t="s">
        <v>46</v>
      </c>
      <c r="D2" s="74">
        <f>WORKDAY(D1,10)</f>
        <v>42528</v>
      </c>
      <c r="E2" s="56"/>
      <c r="F2" s="56"/>
      <c r="G2" s="56"/>
      <c r="H2" s="56"/>
      <c r="I2" s="56"/>
      <c r="J2" s="56"/>
      <c r="K2" s="56"/>
      <c r="L2" s="56"/>
      <c r="M2" s="56"/>
      <c r="N2" s="56"/>
      <c r="O2" s="13"/>
      <c r="P2" s="13"/>
      <c r="Q2" s="13"/>
      <c r="R2" s="13"/>
      <c r="S2" s="13"/>
      <c r="T2" s="13"/>
      <c r="U2" s="13"/>
      <c r="V2" s="13"/>
      <c r="W2" s="13"/>
      <c r="X2" s="13"/>
      <c r="Y2" s="13"/>
      <c r="Z2" s="13"/>
    </row>
    <row r="3" spans="1:92" ht="17.25" customHeight="1">
      <c r="A3" s="56"/>
      <c r="B3" s="56"/>
      <c r="C3" s="73" t="s">
        <v>44</v>
      </c>
      <c r="D3" s="75">
        <f>D17</f>
        <v>10</v>
      </c>
      <c r="E3" s="56"/>
      <c r="F3" s="56"/>
      <c r="G3" s="56"/>
      <c r="H3" s="56"/>
      <c r="I3" s="56"/>
      <c r="J3" s="56"/>
      <c r="K3" s="56"/>
      <c r="L3" s="56"/>
      <c r="M3" s="56"/>
      <c r="N3" s="56"/>
      <c r="O3" s="13"/>
      <c r="P3" s="13"/>
      <c r="Q3" s="13"/>
      <c r="R3" s="13"/>
      <c r="S3" s="13"/>
      <c r="T3" s="13"/>
      <c r="U3" s="13"/>
      <c r="V3" s="13"/>
      <c r="W3" s="13"/>
      <c r="X3" s="13"/>
      <c r="Y3" s="13"/>
      <c r="Z3" s="13"/>
    </row>
    <row r="4" spans="1:92" ht="17.25" customHeight="1">
      <c r="A4" s="56"/>
      <c r="B4" s="56"/>
      <c r="C4" s="73" t="s">
        <v>55</v>
      </c>
      <c r="D4" s="124"/>
      <c r="E4" s="124"/>
      <c r="F4" s="124"/>
      <c r="G4" s="124"/>
      <c r="H4" s="124"/>
      <c r="I4" s="124"/>
      <c r="J4" s="124"/>
      <c r="K4" s="124"/>
      <c r="L4" s="124"/>
      <c r="M4" s="124"/>
      <c r="N4" s="124"/>
      <c r="O4" s="13"/>
      <c r="P4" s="13"/>
      <c r="Q4" s="13"/>
      <c r="R4" s="13"/>
      <c r="S4" s="13"/>
      <c r="T4" s="13"/>
      <c r="U4" s="13"/>
      <c r="V4" s="13"/>
      <c r="W4" s="13"/>
      <c r="X4" s="13"/>
      <c r="Y4" s="13"/>
      <c r="Z4" s="13"/>
    </row>
    <row r="5" spans="1:92" ht="17.25" customHeight="1" thickBot="1">
      <c r="A5" s="56"/>
      <c r="B5" s="56"/>
      <c r="C5" s="73"/>
      <c r="D5" s="74"/>
      <c r="E5" s="56"/>
      <c r="F5" s="56"/>
      <c r="G5" s="56"/>
      <c r="H5" s="56"/>
      <c r="I5" s="56"/>
      <c r="J5" s="56"/>
      <c r="K5" s="56"/>
      <c r="L5" s="56"/>
      <c r="M5" s="56"/>
      <c r="N5" s="56"/>
      <c r="O5" s="13"/>
      <c r="P5" s="13"/>
      <c r="Q5" s="13"/>
      <c r="R5" s="13"/>
      <c r="S5" s="13"/>
      <c r="T5" s="13"/>
      <c r="U5" s="13"/>
      <c r="V5" s="13"/>
      <c r="W5" s="13"/>
      <c r="X5" s="13"/>
      <c r="Y5" s="13"/>
      <c r="Z5" s="13"/>
    </row>
    <row r="6" spans="1:92" ht="32.25" customHeight="1" thickBot="1">
      <c r="A6" s="9" t="s">
        <v>2</v>
      </c>
      <c r="B6" s="10" t="s">
        <v>3</v>
      </c>
      <c r="C6" s="11" t="s">
        <v>4</v>
      </c>
      <c r="D6" s="12" t="s">
        <v>5</v>
      </c>
      <c r="E6" s="52">
        <v>39650</v>
      </c>
      <c r="F6" s="52">
        <v>39651</v>
      </c>
      <c r="G6" s="52">
        <v>39652</v>
      </c>
      <c r="H6" s="52">
        <v>39653</v>
      </c>
      <c r="I6" s="52">
        <v>39654</v>
      </c>
      <c r="J6" s="52">
        <v>39657</v>
      </c>
      <c r="K6" s="52">
        <v>39658</v>
      </c>
      <c r="L6" s="52">
        <v>39659</v>
      </c>
      <c r="M6" s="52">
        <v>39660</v>
      </c>
      <c r="N6" s="48">
        <v>39661</v>
      </c>
      <c r="O6" s="13"/>
      <c r="P6" s="47"/>
      <c r="Q6" s="47"/>
      <c r="R6" s="47"/>
      <c r="S6" s="47"/>
      <c r="T6" s="47"/>
      <c r="U6" s="47"/>
      <c r="V6" s="47"/>
      <c r="W6" s="47"/>
      <c r="X6" s="47"/>
      <c r="Y6" s="47"/>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c r="CN6" s="13"/>
    </row>
    <row r="7" spans="1:92" ht="13">
      <c r="A7" s="46"/>
      <c r="B7" s="14" t="s">
        <v>53</v>
      </c>
      <c r="C7" s="38"/>
      <c r="D7" s="36">
        <v>10</v>
      </c>
      <c r="E7" s="49">
        <v>0</v>
      </c>
      <c r="F7" s="50"/>
      <c r="G7" s="55"/>
      <c r="H7" s="51"/>
      <c r="I7" s="50"/>
      <c r="J7" s="50"/>
      <c r="K7" s="50"/>
      <c r="L7" s="50"/>
      <c r="M7" s="50"/>
      <c r="N7" s="53"/>
      <c r="O7" s="13"/>
      <c r="P7" s="13"/>
      <c r="Q7" s="13"/>
      <c r="R7" s="13"/>
      <c r="S7" s="13"/>
      <c r="T7" s="13"/>
      <c r="U7" s="13"/>
      <c r="V7" s="13"/>
      <c r="W7" s="13"/>
      <c r="X7" s="13"/>
      <c r="Y7" s="13"/>
      <c r="Z7" s="13"/>
    </row>
    <row r="8" spans="1:92" ht="13">
      <c r="A8" s="46"/>
      <c r="B8" s="14"/>
      <c r="C8" s="38"/>
      <c r="D8" s="42"/>
      <c r="E8" s="15"/>
      <c r="F8" s="15"/>
      <c r="G8" s="15"/>
      <c r="H8" s="15"/>
      <c r="I8" s="15"/>
      <c r="J8" s="15"/>
      <c r="K8" s="16"/>
      <c r="L8" s="16"/>
      <c r="M8" s="16"/>
      <c r="N8" s="16"/>
    </row>
    <row r="9" spans="1:92" ht="13">
      <c r="A9" s="45"/>
      <c r="B9" s="19"/>
      <c r="C9" s="38"/>
      <c r="D9" s="41"/>
      <c r="E9" s="15"/>
      <c r="F9" s="16"/>
      <c r="G9" s="16"/>
      <c r="H9" s="18"/>
      <c r="I9" s="16"/>
      <c r="J9" s="16"/>
      <c r="K9" s="16"/>
      <c r="L9" s="16"/>
      <c r="M9" s="16"/>
      <c r="N9" s="16"/>
    </row>
    <row r="10" spans="1:92" ht="13">
      <c r="A10" s="45"/>
      <c r="B10" s="21"/>
      <c r="C10" s="39"/>
      <c r="D10" s="44"/>
      <c r="E10" s="15"/>
      <c r="F10" s="16"/>
      <c r="G10" s="16"/>
      <c r="H10" s="18"/>
      <c r="I10" s="16"/>
      <c r="J10" s="16"/>
      <c r="K10" s="16"/>
      <c r="L10" s="16"/>
      <c r="M10" s="16"/>
      <c r="N10" s="16"/>
    </row>
    <row r="11" spans="1:92" ht="13">
      <c r="A11" s="45"/>
      <c r="B11" s="19"/>
      <c r="C11" s="39"/>
      <c r="D11" s="43"/>
      <c r="E11" s="15"/>
      <c r="F11" s="16"/>
      <c r="G11" s="16"/>
      <c r="H11" s="18"/>
      <c r="I11" s="16"/>
      <c r="J11" s="16"/>
      <c r="K11" s="16"/>
      <c r="L11" s="16"/>
      <c r="M11" s="16"/>
      <c r="N11" s="16"/>
    </row>
    <row r="12" spans="1:92" ht="13">
      <c r="A12" s="45"/>
      <c r="B12" s="19"/>
      <c r="C12" s="39"/>
      <c r="D12" s="44"/>
      <c r="E12" s="15"/>
      <c r="F12" s="16"/>
      <c r="G12" s="16"/>
      <c r="H12" s="18"/>
      <c r="I12" s="16"/>
      <c r="J12" s="16"/>
      <c r="K12" s="16"/>
      <c r="L12" s="16"/>
      <c r="M12" s="16"/>
      <c r="N12" s="16"/>
    </row>
    <row r="13" spans="1:92" ht="13">
      <c r="A13" s="45"/>
      <c r="B13" s="19"/>
      <c r="C13" s="39"/>
      <c r="D13" s="36"/>
      <c r="E13" s="15"/>
      <c r="F13" s="16"/>
      <c r="G13" s="17"/>
      <c r="H13" s="18"/>
      <c r="I13" s="16"/>
      <c r="J13" s="16"/>
      <c r="K13" s="16"/>
      <c r="L13" s="16"/>
      <c r="M13" s="16"/>
      <c r="N13" s="16"/>
    </row>
    <row r="14" spans="1:92" ht="13">
      <c r="A14" s="45"/>
      <c r="B14" s="19"/>
      <c r="C14" s="39"/>
      <c r="D14" s="36"/>
      <c r="E14" s="15"/>
      <c r="F14" s="16"/>
      <c r="G14" s="17"/>
      <c r="H14" s="18"/>
      <c r="I14" s="16"/>
      <c r="J14" s="16"/>
      <c r="K14" s="16"/>
      <c r="L14" s="16"/>
      <c r="M14" s="16"/>
      <c r="N14" s="16"/>
    </row>
    <row r="15" spans="1:92" ht="13">
      <c r="A15" s="45"/>
      <c r="B15" s="19"/>
      <c r="C15" s="39"/>
      <c r="D15" s="36"/>
      <c r="E15" s="15"/>
      <c r="F15" s="16"/>
      <c r="G15" s="17"/>
      <c r="H15" s="18"/>
      <c r="I15" s="54"/>
      <c r="J15" s="16"/>
      <c r="K15" s="16"/>
      <c r="L15" s="16"/>
      <c r="M15" s="16"/>
      <c r="N15" s="16"/>
    </row>
    <row r="16" spans="1:92" ht="13">
      <c r="A16" s="20"/>
      <c r="B16" s="21"/>
      <c r="C16" s="40"/>
      <c r="D16" s="37"/>
      <c r="E16" s="18"/>
      <c r="F16" s="18"/>
      <c r="G16" s="18"/>
      <c r="H16" s="18"/>
      <c r="I16" s="18"/>
      <c r="J16" s="16"/>
      <c r="K16" s="16"/>
      <c r="L16" s="16"/>
      <c r="M16" s="16"/>
      <c r="N16" s="16"/>
    </row>
    <row r="17" spans="1:92" ht="13">
      <c r="A17" s="22"/>
      <c r="B17" s="23"/>
      <c r="C17" s="24"/>
      <c r="D17" s="58">
        <f t="shared" ref="D17:N17" si="0">SUM(D7:D16)</f>
        <v>10</v>
      </c>
      <c r="E17" s="58">
        <f t="shared" si="0"/>
        <v>0</v>
      </c>
      <c r="F17" s="58">
        <f t="shared" si="0"/>
        <v>0</v>
      </c>
      <c r="G17" s="58">
        <f t="shared" si="0"/>
        <v>0</v>
      </c>
      <c r="H17" s="58">
        <f t="shared" si="0"/>
        <v>0</v>
      </c>
      <c r="I17" s="58">
        <f t="shared" si="0"/>
        <v>0</v>
      </c>
      <c r="J17" s="58">
        <f t="shared" si="0"/>
        <v>0</v>
      </c>
      <c r="K17" s="58">
        <f t="shared" si="0"/>
        <v>0</v>
      </c>
      <c r="L17" s="58">
        <f t="shared" si="0"/>
        <v>0</v>
      </c>
      <c r="M17" s="58">
        <f t="shared" si="0"/>
        <v>0</v>
      </c>
      <c r="N17" s="58">
        <f t="shared" si="0"/>
        <v>0</v>
      </c>
      <c r="O17" s="59" t="s">
        <v>16</v>
      </c>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row>
    <row r="18" spans="1:92" ht="13">
      <c r="A18" s="22"/>
      <c r="B18" s="23"/>
      <c r="C18" s="25"/>
      <c r="D18" s="26" t="s">
        <v>6</v>
      </c>
      <c r="E18" s="70">
        <f>'system sheet'!C11</f>
        <v>10</v>
      </c>
      <c r="F18" s="70">
        <f>'system sheet'!D11</f>
        <v>8.8888888888888893</v>
      </c>
      <c r="G18" s="70">
        <f>'system sheet'!E11</f>
        <v>7.7777777777777777</v>
      </c>
      <c r="H18" s="70">
        <f>'system sheet'!F11</f>
        <v>6.6666666666666661</v>
      </c>
      <c r="I18" s="70">
        <f>'system sheet'!G11</f>
        <v>5.5555555555555554</v>
      </c>
      <c r="J18" s="70">
        <f>'system sheet'!H11</f>
        <v>4.4444444444444446</v>
      </c>
      <c r="K18" s="70">
        <f>'system sheet'!I11</f>
        <v>3.333333333333333</v>
      </c>
      <c r="L18" s="70">
        <f>'system sheet'!J11</f>
        <v>2.2222222222222214</v>
      </c>
      <c r="M18" s="70">
        <f>'system sheet'!K11</f>
        <v>1.1111111111111107</v>
      </c>
      <c r="N18" s="70">
        <f>'system sheet'!L11</f>
        <v>0</v>
      </c>
      <c r="O18" s="27">
        <v>0</v>
      </c>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row>
    <row r="19" spans="1:92">
      <c r="A19" s="22"/>
      <c r="B19" s="23"/>
      <c r="C19" s="25"/>
      <c r="D19" s="28"/>
      <c r="E19" s="29"/>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row>
    <row r="20" spans="1:92" ht="13">
      <c r="A20" s="22"/>
      <c r="B20" s="69"/>
      <c r="C20" s="25"/>
      <c r="D20" s="28"/>
      <c r="E20" s="29"/>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row>
    <row r="21" spans="1:92">
      <c r="A21" s="22"/>
      <c r="B21" s="23"/>
      <c r="C21" s="25"/>
      <c r="D21" s="28"/>
      <c r="E21" s="29"/>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row>
    <row r="22" spans="1:92">
      <c r="A22" s="22"/>
      <c r="B22" s="23"/>
      <c r="C22" s="25"/>
      <c r="D22" s="28"/>
      <c r="E22" s="29"/>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row>
    <row r="23" spans="1:92">
      <c r="A23" s="22"/>
      <c r="B23" s="23"/>
      <c r="C23" s="25"/>
      <c r="D23" s="28"/>
      <c r="E23" s="29"/>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row>
    <row r="24" spans="1:92">
      <c r="A24" s="22"/>
      <c r="B24" s="23"/>
      <c r="C24" s="25"/>
      <c r="D24" s="28"/>
      <c r="E24" s="29"/>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row>
    <row r="25" spans="1:92">
      <c r="A25" s="22"/>
      <c r="B25" s="23"/>
      <c r="C25" s="25"/>
      <c r="D25" s="28"/>
      <c r="E25" s="29"/>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row>
    <row r="26" spans="1:92">
      <c r="A26" s="22"/>
      <c r="B26" s="23"/>
      <c r="C26" s="25"/>
      <c r="D26" s="28"/>
      <c r="E26" s="29"/>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row>
    <row r="27" spans="1:92">
      <c r="A27" s="22"/>
      <c r="B27" s="23"/>
      <c r="C27" s="25"/>
      <c r="D27" s="28"/>
      <c r="E27" s="29"/>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row>
    <row r="28" spans="1:92">
      <c r="A28" s="22"/>
      <c r="B28" s="23"/>
      <c r="C28" s="25"/>
      <c r="D28" s="28"/>
      <c r="E28" s="29"/>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row>
    <row r="29" spans="1:92">
      <c r="A29" s="22"/>
      <c r="B29" s="23"/>
      <c r="C29" s="25"/>
      <c r="D29" s="28"/>
      <c r="E29" s="29"/>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row>
    <row r="30" spans="1:92">
      <c r="A30" s="22"/>
      <c r="B30" s="23"/>
      <c r="C30" s="25"/>
      <c r="D30" s="28"/>
      <c r="E30" s="29"/>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c r="CN30" s="13"/>
    </row>
    <row r="31" spans="1:92">
      <c r="A31" s="22"/>
      <c r="B31" s="23"/>
      <c r="C31" s="25"/>
      <c r="D31" s="28"/>
      <c r="E31" s="29"/>
      <c r="F31" s="13"/>
      <c r="G31" s="13"/>
      <c r="H31" s="13"/>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c r="CN31" s="13"/>
    </row>
    <row r="32" spans="1:92">
      <c r="A32" s="22"/>
      <c r="B32" s="23"/>
      <c r="C32" s="25"/>
      <c r="D32" s="28"/>
      <c r="E32" s="29"/>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c r="CN32" s="13"/>
    </row>
    <row r="33" spans="1:92">
      <c r="A33" s="22"/>
      <c r="B33" s="23"/>
      <c r="C33" s="25"/>
      <c r="D33" s="28"/>
      <c r="E33" s="29"/>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c r="CN33" s="13"/>
    </row>
    <row r="34" spans="1:92">
      <c r="A34" s="22"/>
      <c r="B34" s="23"/>
      <c r="C34" s="25"/>
      <c r="D34" s="28"/>
      <c r="E34" s="29"/>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c r="CN34" s="13"/>
    </row>
    <row r="35" spans="1:92">
      <c r="A35" s="22"/>
      <c r="B35" s="23"/>
      <c r="C35" s="25"/>
      <c r="D35" s="28"/>
      <c r="E35" s="29"/>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c r="CF35" s="13"/>
      <c r="CG35" s="13"/>
      <c r="CH35" s="13"/>
      <c r="CI35" s="13"/>
      <c r="CJ35" s="13"/>
      <c r="CK35" s="13"/>
      <c r="CL35" s="13"/>
      <c r="CM35" s="13"/>
      <c r="CN35" s="13"/>
    </row>
    <row r="36" spans="1:92">
      <c r="A36" s="22"/>
      <c r="B36" s="23"/>
      <c r="C36" s="25"/>
      <c r="D36" s="28"/>
      <c r="E36" s="29"/>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c r="BJ36" s="13"/>
      <c r="BK36" s="13"/>
      <c r="BL36" s="13"/>
      <c r="BM36" s="13"/>
      <c r="BN36" s="13"/>
      <c r="BO36" s="13"/>
      <c r="BP36" s="13"/>
      <c r="BQ36" s="13"/>
      <c r="BR36" s="13"/>
      <c r="BS36" s="13"/>
      <c r="BT36" s="13"/>
      <c r="BU36" s="13"/>
      <c r="BV36" s="13"/>
      <c r="BW36" s="13"/>
      <c r="BX36" s="13"/>
      <c r="BY36" s="13"/>
      <c r="BZ36" s="13"/>
      <c r="CA36" s="13"/>
      <c r="CB36" s="13"/>
      <c r="CC36" s="13"/>
      <c r="CD36" s="13"/>
      <c r="CE36" s="13"/>
      <c r="CF36" s="13"/>
      <c r="CG36" s="13"/>
      <c r="CH36" s="13"/>
      <c r="CI36" s="13"/>
      <c r="CJ36" s="13"/>
      <c r="CK36" s="13"/>
      <c r="CL36" s="13"/>
      <c r="CM36" s="13"/>
      <c r="CN36" s="13"/>
    </row>
    <row r="37" spans="1:92">
      <c r="A37" s="22"/>
      <c r="B37" s="23"/>
      <c r="C37" s="25"/>
      <c r="D37" s="28"/>
      <c r="E37" s="29"/>
      <c r="F37" s="13"/>
      <c r="G37" s="13"/>
      <c r="H37" s="13"/>
      <c r="I37" s="13"/>
      <c r="J37" s="13"/>
      <c r="K37" s="13"/>
      <c r="L37" s="13"/>
      <c r="M37" s="13"/>
      <c r="N37" s="13"/>
      <c r="O37" s="13"/>
      <c r="P37" s="1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s="13"/>
      <c r="BI37" s="13"/>
      <c r="BJ37" s="13"/>
      <c r="BK37" s="13"/>
      <c r="BL37" s="13"/>
      <c r="BM37" s="13"/>
      <c r="BN37" s="13"/>
      <c r="BO37" s="13"/>
      <c r="BP37" s="13"/>
      <c r="BQ37" s="13"/>
      <c r="BR37" s="13"/>
      <c r="BS37" s="13"/>
      <c r="BT37" s="13"/>
      <c r="BU37" s="13"/>
      <c r="BV37" s="13"/>
      <c r="BW37" s="13"/>
      <c r="BX37" s="13"/>
      <c r="BY37" s="13"/>
      <c r="BZ37" s="13"/>
      <c r="CA37" s="13"/>
      <c r="CB37" s="13"/>
      <c r="CC37" s="13"/>
      <c r="CD37" s="13"/>
      <c r="CE37" s="13"/>
      <c r="CF37" s="13"/>
      <c r="CG37" s="13"/>
      <c r="CH37" s="13"/>
      <c r="CI37" s="13"/>
      <c r="CJ37" s="13"/>
      <c r="CK37" s="13"/>
      <c r="CL37" s="13"/>
      <c r="CM37" s="13"/>
      <c r="CN37" s="13"/>
    </row>
    <row r="38" spans="1:92">
      <c r="A38" s="22"/>
      <c r="B38" s="23"/>
      <c r="C38" s="25"/>
      <c r="D38" s="28"/>
      <c r="E38" s="29"/>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c r="AI38" s="13"/>
      <c r="AJ38" s="13"/>
      <c r="AK38" s="13"/>
      <c r="AL38" s="13"/>
      <c r="AM38" s="13"/>
      <c r="AN38" s="13"/>
      <c r="AO38" s="13"/>
      <c r="AP38" s="13"/>
      <c r="AQ38" s="13"/>
      <c r="AR38" s="13"/>
      <c r="AS38" s="13"/>
      <c r="AT38" s="13"/>
      <c r="AU38" s="13"/>
      <c r="AV38" s="13"/>
      <c r="AW38" s="13"/>
      <c r="AX38" s="13"/>
      <c r="AY38" s="13"/>
      <c r="AZ38" s="13"/>
      <c r="BA38" s="13"/>
      <c r="BB38" s="13"/>
      <c r="BC38" s="13"/>
      <c r="BD38" s="13"/>
      <c r="BE38" s="13"/>
      <c r="BF38" s="13"/>
      <c r="BG38" s="13"/>
      <c r="BH38" s="13"/>
      <c r="BI38" s="13"/>
      <c r="BJ38" s="13"/>
      <c r="BK38" s="13"/>
      <c r="BL38" s="13"/>
      <c r="BM38" s="13"/>
      <c r="BN38" s="13"/>
      <c r="BO38" s="13"/>
      <c r="BP38" s="13"/>
      <c r="BQ38" s="13"/>
      <c r="BR38" s="13"/>
      <c r="BS38" s="13"/>
      <c r="BT38" s="13"/>
      <c r="BU38" s="13"/>
      <c r="BV38" s="13"/>
      <c r="BW38" s="13"/>
      <c r="BX38" s="13"/>
      <c r="BY38" s="13"/>
      <c r="BZ38" s="13"/>
      <c r="CA38" s="13"/>
      <c r="CB38" s="13"/>
      <c r="CC38" s="13"/>
      <c r="CD38" s="13"/>
      <c r="CE38" s="13"/>
      <c r="CF38" s="13"/>
      <c r="CG38" s="13"/>
      <c r="CH38" s="13"/>
      <c r="CI38" s="13"/>
      <c r="CJ38" s="13"/>
      <c r="CK38" s="13"/>
      <c r="CL38" s="13"/>
      <c r="CM38" s="13"/>
      <c r="CN38" s="13"/>
    </row>
    <row r="39" spans="1:92">
      <c r="A39" s="22"/>
      <c r="B39" s="23"/>
      <c r="C39" s="25"/>
      <c r="D39" s="28"/>
      <c r="E39" s="13"/>
    </row>
    <row r="40" spans="1:92">
      <c r="A40" s="22"/>
      <c r="B40" s="25"/>
      <c r="C40" s="25"/>
      <c r="D40" s="28"/>
    </row>
    <row r="41" spans="1:92">
      <c r="A41" s="22"/>
      <c r="B41" s="25"/>
      <c r="C41" s="25"/>
      <c r="D41" s="25"/>
    </row>
    <row r="42" spans="1:92">
      <c r="A42" s="22"/>
      <c r="B42" s="25"/>
      <c r="C42" s="25"/>
      <c r="D42" s="25"/>
    </row>
    <row r="43" spans="1:92">
      <c r="A43" s="22"/>
      <c r="B43" s="25"/>
      <c r="C43" s="25"/>
      <c r="D43" s="25"/>
    </row>
    <row r="44" spans="1:92">
      <c r="A44" s="22"/>
      <c r="B44" s="25"/>
      <c r="C44" s="25"/>
      <c r="D44" s="25"/>
    </row>
    <row r="45" spans="1:92">
      <c r="A45" s="22"/>
      <c r="B45" s="25"/>
      <c r="C45" s="25"/>
      <c r="D45" s="25"/>
    </row>
    <row r="46" spans="1:92">
      <c r="A46" s="22"/>
      <c r="B46" s="25"/>
      <c r="C46" s="25"/>
      <c r="D46" s="25"/>
    </row>
    <row r="47" spans="1:92">
      <c r="A47" s="30"/>
      <c r="B47" s="25"/>
      <c r="C47" s="25"/>
      <c r="D47" s="25"/>
    </row>
    <row r="48" spans="1:92">
      <c r="A48" s="30"/>
      <c r="B48" s="25"/>
      <c r="C48" s="25"/>
      <c r="D48" s="25"/>
    </row>
    <row r="49" spans="1:4">
      <c r="A49" s="25"/>
      <c r="B49" s="25"/>
      <c r="C49" s="25"/>
      <c r="D49" s="25"/>
    </row>
    <row r="50" spans="1:4">
      <c r="A50" s="25"/>
      <c r="B50" s="25"/>
      <c r="C50" s="25"/>
      <c r="D50" s="25"/>
    </row>
    <row r="51" spans="1:4">
      <c r="A51" s="25"/>
      <c r="B51" s="25"/>
      <c r="C51" s="25"/>
      <c r="D51" s="25"/>
    </row>
    <row r="52" spans="1:4">
      <c r="A52" s="25"/>
      <c r="B52" s="25"/>
      <c r="C52" s="25"/>
      <c r="D52" s="25"/>
    </row>
    <row r="53" spans="1:4">
      <c r="A53" s="25"/>
      <c r="B53" s="25"/>
      <c r="C53" s="25"/>
      <c r="D53" s="25"/>
    </row>
    <row r="54" spans="1:4">
      <c r="A54" s="25"/>
      <c r="B54" s="25"/>
      <c r="C54" s="25"/>
      <c r="D54" s="25"/>
    </row>
    <row r="55" spans="1:4">
      <c r="A55" s="25"/>
      <c r="B55" s="25"/>
      <c r="C55" s="25"/>
      <c r="D55" s="25"/>
    </row>
    <row r="56" spans="1:4">
      <c r="A56" s="25"/>
      <c r="B56" s="25"/>
      <c r="C56" s="25"/>
      <c r="D56" s="25"/>
    </row>
    <row r="57" spans="1:4">
      <c r="A57" s="25"/>
      <c r="B57" s="25"/>
      <c r="C57" s="25"/>
      <c r="D57" s="25"/>
    </row>
    <row r="58" spans="1:4">
      <c r="A58" s="25"/>
      <c r="B58" s="25"/>
      <c r="C58" s="25"/>
      <c r="D58" s="25"/>
    </row>
    <row r="59" spans="1:4">
      <c r="A59" s="25"/>
      <c r="B59" s="25"/>
      <c r="C59" s="25"/>
      <c r="D59" s="25"/>
    </row>
    <row r="60" spans="1:4">
      <c r="A60" s="25"/>
      <c r="B60" s="25"/>
      <c r="C60" s="25"/>
      <c r="D60" s="25"/>
    </row>
    <row r="61" spans="1:4">
      <c r="A61" s="25"/>
      <c r="B61" s="25"/>
      <c r="C61" s="25"/>
      <c r="D61" s="25"/>
    </row>
    <row r="62" spans="1:4">
      <c r="A62" s="25"/>
      <c r="B62" s="25"/>
      <c r="C62" s="25"/>
      <c r="D62" s="25"/>
    </row>
    <row r="63" spans="1:4">
      <c r="A63" s="25"/>
      <c r="B63" s="25"/>
      <c r="C63" s="25"/>
      <c r="D63" s="25"/>
    </row>
    <row r="64" spans="1:4">
      <c r="A64" s="25"/>
      <c r="B64" s="25"/>
      <c r="C64" s="25"/>
      <c r="D64" s="25"/>
    </row>
    <row r="65" spans="1:4">
      <c r="A65" s="25"/>
      <c r="B65" s="25"/>
      <c r="C65" s="25"/>
      <c r="D65" s="25"/>
    </row>
    <row r="66" spans="1:4">
      <c r="A66" s="25"/>
      <c r="B66" s="25"/>
      <c r="C66" s="25"/>
      <c r="D66" s="25"/>
    </row>
    <row r="67" spans="1:4">
      <c r="A67" s="25"/>
      <c r="B67" s="25"/>
      <c r="C67" s="25"/>
      <c r="D67" s="25"/>
    </row>
    <row r="68" spans="1:4">
      <c r="A68" s="25"/>
      <c r="B68" s="25"/>
      <c r="C68" s="25"/>
      <c r="D68" s="25"/>
    </row>
    <row r="69" spans="1:4">
      <c r="A69" s="25"/>
      <c r="B69" s="25"/>
      <c r="C69" s="25"/>
      <c r="D69" s="25"/>
    </row>
    <row r="70" spans="1:4">
      <c r="A70" s="25"/>
      <c r="B70" s="25"/>
      <c r="C70" s="25"/>
      <c r="D70" s="25"/>
    </row>
    <row r="71" spans="1:4">
      <c r="A71" s="25"/>
      <c r="B71" s="25"/>
      <c r="C71" s="25"/>
      <c r="D71" s="25"/>
    </row>
    <row r="72" spans="1:4">
      <c r="A72" s="25"/>
      <c r="B72" s="25"/>
      <c r="C72" s="25"/>
      <c r="D72" s="25"/>
    </row>
    <row r="73" spans="1:4">
      <c r="A73" s="25"/>
      <c r="B73" s="25"/>
      <c r="C73" s="25"/>
      <c r="D73" s="25"/>
    </row>
    <row r="74" spans="1:4">
      <c r="A74" s="25"/>
      <c r="B74" s="25"/>
      <c r="C74" s="25"/>
      <c r="D74" s="25"/>
    </row>
    <row r="75" spans="1:4">
      <c r="A75" s="25"/>
      <c r="B75" s="25"/>
      <c r="C75" s="25"/>
      <c r="D75" s="25"/>
    </row>
    <row r="76" spans="1:4">
      <c r="A76" s="25"/>
      <c r="B76" s="25"/>
      <c r="C76" s="25"/>
      <c r="D76" s="25"/>
    </row>
    <row r="77" spans="1:4">
      <c r="A77" s="25"/>
      <c r="B77" s="25"/>
      <c r="C77" s="25"/>
      <c r="D77" s="25"/>
    </row>
    <row r="78" spans="1:4">
      <c r="A78" s="25"/>
      <c r="B78" s="25"/>
      <c r="C78" s="25"/>
      <c r="D78" s="25"/>
    </row>
    <row r="80" spans="1:4" ht="14.25" customHeight="1"/>
  </sheetData>
  <autoFilter ref="A6:E17"/>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29"/>
  <sheetViews>
    <sheetView workbookViewId="0">
      <selection activeCell="C9" sqref="C9"/>
    </sheetView>
  </sheetViews>
  <sheetFormatPr defaultColWidth="9.1796875" defaultRowHeight="12.5"/>
  <cols>
    <col min="1" max="1" width="9.1796875" style="56" customWidth="1"/>
    <col min="2" max="2" width="18.54296875" style="56" customWidth="1"/>
    <col min="3" max="16384" width="9.1796875" style="56"/>
  </cols>
  <sheetData>
    <row r="1" spans="1:14" ht="13" thickBot="1"/>
    <row r="2" spans="1:14" ht="18" thickBot="1">
      <c r="B2" s="125" t="s">
        <v>56</v>
      </c>
      <c r="C2" s="126"/>
      <c r="D2" s="126"/>
      <c r="E2" s="126"/>
      <c r="F2" s="126"/>
      <c r="G2" s="126"/>
      <c r="H2" s="126"/>
      <c r="I2" s="126"/>
      <c r="J2" s="126"/>
      <c r="K2" s="126"/>
      <c r="L2" s="127"/>
    </row>
    <row r="3" spans="1:14">
      <c r="B3" s="85"/>
    </row>
    <row r="5" spans="1:14" ht="13">
      <c r="C5" s="86" t="s">
        <v>13</v>
      </c>
      <c r="D5" s="86" t="s">
        <v>14</v>
      </c>
      <c r="E5" s="86" t="s">
        <v>8</v>
      </c>
      <c r="F5" s="86" t="s">
        <v>9</v>
      </c>
      <c r="G5" s="86" t="s">
        <v>10</v>
      </c>
      <c r="H5" s="86" t="s">
        <v>11</v>
      </c>
    </row>
    <row r="6" spans="1:14" ht="15.5">
      <c r="A6" s="129" t="s">
        <v>58</v>
      </c>
      <c r="B6" s="129"/>
      <c r="C6" s="87">
        <f>'Sprint 1'!D3</f>
        <v>50</v>
      </c>
      <c r="D6" s="88">
        <f>'Sprint 2'!D3</f>
        <v>10</v>
      </c>
      <c r="E6" s="88"/>
      <c r="F6" s="89"/>
      <c r="G6" s="89"/>
      <c r="H6" s="89"/>
    </row>
    <row r="7" spans="1:14" ht="13">
      <c r="B7" s="90" t="s">
        <v>12</v>
      </c>
      <c r="C7" s="91">
        <v>0</v>
      </c>
      <c r="D7" s="90">
        <v>0</v>
      </c>
      <c r="E7" s="90">
        <v>0</v>
      </c>
      <c r="F7" s="90">
        <v>0</v>
      </c>
      <c r="G7" s="90">
        <v>0</v>
      </c>
      <c r="H7" s="90">
        <v>0</v>
      </c>
    </row>
    <row r="8" spans="1:14">
      <c r="C8" s="92"/>
    </row>
    <row r="9" spans="1:14" ht="13">
      <c r="A9" s="128" t="s">
        <v>57</v>
      </c>
      <c r="B9" s="93" t="s">
        <v>17</v>
      </c>
      <c r="C9" s="94">
        <v>0</v>
      </c>
      <c r="D9" s="95">
        <v>1</v>
      </c>
      <c r="E9" s="95">
        <v>2</v>
      </c>
      <c r="F9" s="95">
        <v>3</v>
      </c>
      <c r="G9" s="95">
        <v>4</v>
      </c>
      <c r="H9" s="95">
        <v>5</v>
      </c>
      <c r="I9" s="95">
        <v>6</v>
      </c>
      <c r="J9" s="95">
        <v>7</v>
      </c>
      <c r="K9" s="95">
        <v>8</v>
      </c>
      <c r="L9" s="95">
        <v>9</v>
      </c>
      <c r="N9" s="96" t="s">
        <v>7</v>
      </c>
    </row>
    <row r="10" spans="1:14" ht="13">
      <c r="A10" s="128"/>
      <c r="B10" s="97" t="s">
        <v>13</v>
      </c>
      <c r="C10" s="98">
        <f>FORECAST(C$9, $C$6:$C$7,$N$10:$N$11)</f>
        <v>50</v>
      </c>
      <c r="D10" s="98">
        <f>FORECAST(N$12, $C$6:$C$7,$N$10:$N$11)</f>
        <v>44.444444444444443</v>
      </c>
      <c r="E10" s="98">
        <f t="shared" ref="E10:L10" si="0">FORECAST(E$9, $C$6:$C$7,$N$10:$N$11)</f>
        <v>38.888888888888886</v>
      </c>
      <c r="F10" s="98">
        <f t="shared" si="0"/>
        <v>33.333333333333336</v>
      </c>
      <c r="G10" s="98">
        <f t="shared" si="0"/>
        <v>27.777777777777779</v>
      </c>
      <c r="H10" s="98">
        <f t="shared" si="0"/>
        <v>22.222222222222221</v>
      </c>
      <c r="I10" s="98">
        <f t="shared" si="0"/>
        <v>16.666666666666671</v>
      </c>
      <c r="J10" s="98">
        <f t="shared" si="0"/>
        <v>11.111111111111114</v>
      </c>
      <c r="K10" s="98">
        <f t="shared" si="0"/>
        <v>5.5555555555555571</v>
      </c>
      <c r="L10" s="98">
        <f t="shared" si="0"/>
        <v>0</v>
      </c>
      <c r="N10" s="91">
        <v>0</v>
      </c>
    </row>
    <row r="11" spans="1:14" ht="13">
      <c r="A11" s="128"/>
      <c r="B11" s="97" t="s">
        <v>14</v>
      </c>
      <c r="C11" s="98">
        <f t="shared" ref="C11:L11" si="1">FORECAST(C$9, $D$6:$D$7,$N$10:$N$11)</f>
        <v>10</v>
      </c>
      <c r="D11" s="98">
        <f t="shared" si="1"/>
        <v>8.8888888888888893</v>
      </c>
      <c r="E11" s="98">
        <f t="shared" si="1"/>
        <v>7.7777777777777777</v>
      </c>
      <c r="F11" s="98">
        <f t="shared" si="1"/>
        <v>6.6666666666666661</v>
      </c>
      <c r="G11" s="98">
        <f t="shared" si="1"/>
        <v>5.5555555555555554</v>
      </c>
      <c r="H11" s="98">
        <f t="shared" si="1"/>
        <v>4.4444444444444446</v>
      </c>
      <c r="I11" s="98">
        <f t="shared" si="1"/>
        <v>3.333333333333333</v>
      </c>
      <c r="J11" s="98">
        <f t="shared" si="1"/>
        <v>2.2222222222222214</v>
      </c>
      <c r="K11" s="98">
        <f t="shared" si="1"/>
        <v>1.1111111111111107</v>
      </c>
      <c r="L11" s="98">
        <f t="shared" si="1"/>
        <v>0</v>
      </c>
      <c r="N11" s="91">
        <v>9</v>
      </c>
    </row>
    <row r="12" spans="1:14" ht="13">
      <c r="A12" s="128"/>
      <c r="B12" s="97" t="s">
        <v>8</v>
      </c>
      <c r="C12" s="98"/>
      <c r="D12" s="98"/>
      <c r="E12" s="98"/>
      <c r="F12" s="98"/>
      <c r="G12" s="98"/>
      <c r="H12" s="98"/>
      <c r="I12" s="98"/>
      <c r="J12" s="98"/>
      <c r="K12" s="98"/>
      <c r="L12" s="98"/>
      <c r="N12" s="91">
        <v>1</v>
      </c>
    </row>
    <row r="13" spans="1:14" ht="13">
      <c r="A13" s="128"/>
      <c r="B13" s="97" t="s">
        <v>9</v>
      </c>
      <c r="C13" s="98"/>
      <c r="D13" s="98"/>
      <c r="E13" s="98"/>
      <c r="F13" s="98"/>
      <c r="G13" s="98"/>
      <c r="H13" s="98"/>
      <c r="I13" s="98"/>
      <c r="J13" s="98"/>
      <c r="K13" s="98"/>
      <c r="L13" s="98"/>
    </row>
    <row r="14" spans="1:14" ht="13">
      <c r="A14" s="128"/>
      <c r="B14" s="97" t="s">
        <v>10</v>
      </c>
      <c r="C14" s="98"/>
      <c r="D14" s="98"/>
      <c r="E14" s="98"/>
      <c r="F14" s="98"/>
      <c r="G14" s="98"/>
      <c r="H14" s="98"/>
      <c r="I14" s="98"/>
      <c r="J14" s="98"/>
      <c r="K14" s="98"/>
      <c r="L14" s="98"/>
    </row>
    <row r="15" spans="1:14" ht="13">
      <c r="A15" s="128"/>
      <c r="B15" s="97" t="s">
        <v>11</v>
      </c>
      <c r="C15" s="98"/>
      <c r="D15" s="98"/>
      <c r="E15" s="98"/>
      <c r="F15" s="98"/>
      <c r="G15" s="98"/>
      <c r="H15" s="98"/>
      <c r="I15" s="98"/>
      <c r="J15" s="98"/>
      <c r="K15" s="98"/>
      <c r="L15" s="98"/>
    </row>
    <row r="16" spans="1:14" ht="13">
      <c r="A16" s="128"/>
      <c r="B16" s="97"/>
      <c r="C16" s="98"/>
      <c r="D16" s="98"/>
      <c r="E16" s="98"/>
      <c r="F16" s="98"/>
      <c r="G16" s="98"/>
      <c r="H16" s="98"/>
      <c r="I16" s="98"/>
      <c r="J16" s="98"/>
      <c r="K16" s="98"/>
      <c r="L16" s="98"/>
    </row>
    <row r="17" spans="1:12" ht="13">
      <c r="A17" s="128"/>
      <c r="B17" s="97"/>
      <c r="C17" s="98"/>
      <c r="D17" s="98"/>
      <c r="E17" s="98"/>
      <c r="F17" s="98"/>
      <c r="G17" s="98"/>
      <c r="H17" s="98"/>
      <c r="I17" s="98"/>
      <c r="J17" s="98"/>
      <c r="K17" s="98"/>
      <c r="L17" s="98"/>
    </row>
    <row r="18" spans="1:12" ht="13">
      <c r="A18" s="128"/>
      <c r="B18" s="97"/>
      <c r="C18" s="98"/>
      <c r="D18" s="98"/>
      <c r="E18" s="98"/>
      <c r="F18" s="98"/>
      <c r="G18" s="98"/>
      <c r="H18" s="98"/>
      <c r="I18" s="98"/>
      <c r="J18" s="98"/>
      <c r="K18" s="98"/>
      <c r="L18" s="98"/>
    </row>
    <row r="19" spans="1:12" ht="13">
      <c r="A19" s="128"/>
      <c r="B19" s="97"/>
      <c r="C19" s="98"/>
      <c r="D19" s="98"/>
      <c r="E19" s="98"/>
      <c r="F19" s="98"/>
      <c r="G19" s="98"/>
      <c r="H19" s="98"/>
      <c r="I19" s="98"/>
      <c r="J19" s="98"/>
      <c r="K19" s="98"/>
      <c r="L19" s="98"/>
    </row>
    <row r="20" spans="1:12" ht="13">
      <c r="A20" s="128"/>
      <c r="B20" s="97"/>
      <c r="C20" s="98"/>
      <c r="D20" s="98"/>
      <c r="E20" s="98"/>
      <c r="F20" s="98"/>
      <c r="G20" s="98"/>
      <c r="H20" s="98"/>
      <c r="I20" s="98"/>
      <c r="J20" s="98"/>
      <c r="K20" s="98"/>
      <c r="L20" s="98"/>
    </row>
    <row r="21" spans="1:12" ht="13">
      <c r="A21" s="128"/>
      <c r="B21" s="97"/>
      <c r="C21" s="98"/>
      <c r="D21" s="98"/>
      <c r="E21" s="98"/>
      <c r="F21" s="98"/>
      <c r="G21" s="98"/>
      <c r="H21" s="98"/>
      <c r="I21" s="98"/>
      <c r="J21" s="98"/>
      <c r="K21" s="98"/>
      <c r="L21" s="98"/>
    </row>
    <row r="22" spans="1:12" ht="13">
      <c r="A22" s="128"/>
      <c r="B22" s="97"/>
      <c r="C22" s="98"/>
      <c r="D22" s="98"/>
      <c r="E22" s="98"/>
      <c r="F22" s="98"/>
      <c r="G22" s="98"/>
      <c r="H22" s="98"/>
      <c r="I22" s="98"/>
      <c r="J22" s="98"/>
      <c r="K22" s="98"/>
      <c r="L22" s="98"/>
    </row>
    <row r="23" spans="1:12" ht="13">
      <c r="A23" s="128"/>
      <c r="B23" s="97"/>
      <c r="C23" s="98"/>
      <c r="D23" s="98"/>
      <c r="E23" s="98"/>
      <c r="F23" s="98"/>
      <c r="G23" s="98"/>
      <c r="H23" s="98"/>
      <c r="I23" s="98"/>
      <c r="J23" s="98"/>
      <c r="K23" s="98"/>
      <c r="L23" s="98"/>
    </row>
    <row r="28" spans="1:12" ht="13">
      <c r="B28" s="57"/>
    </row>
    <row r="29" spans="1:12" ht="13">
      <c r="B29" s="90"/>
    </row>
  </sheetData>
  <mergeCells count="3">
    <mergeCell ref="B2:L2"/>
    <mergeCell ref="A9:A23"/>
    <mergeCell ref="A6:B6"/>
  </mergeCells>
  <phoneticPr fontId="1" type="noConversion"/>
  <pageMargins left="0.78740157499999996" right="0.78740157499999996" top="0.984251969" bottom="0.984251969" header="0.5" footer="0.5"/>
  <pageSetup paperSize="9"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vt:i4>
      </vt:variant>
    </vt:vector>
  </HeadingPairs>
  <TitlesOfParts>
    <vt:vector size="7" baseType="lpstr">
      <vt:lpstr>Intro</vt:lpstr>
      <vt:lpstr>Product Backlog</vt:lpstr>
      <vt:lpstr>Sprint 1</vt:lpstr>
      <vt:lpstr>Sprint 2</vt:lpstr>
      <vt:lpstr>system sheet</vt:lpstr>
      <vt:lpstr>'Sprint 1'!Область_печати</vt:lpstr>
      <vt:lpstr>'Sprint 2'!Область_печати</vt:lpstr>
    </vt:vector>
  </TitlesOfParts>
  <Company>BNP Paribas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513334</dc:creator>
  <cp:lastModifiedBy>Marina</cp:lastModifiedBy>
  <cp:lastPrinted>2008-10-15T09:39:59Z</cp:lastPrinted>
  <dcterms:created xsi:type="dcterms:W3CDTF">2008-09-23T14:13:12Z</dcterms:created>
  <dcterms:modified xsi:type="dcterms:W3CDTF">2017-03-28T15:33:23Z</dcterms:modified>
</cp:coreProperties>
</file>